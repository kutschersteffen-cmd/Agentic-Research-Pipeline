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riteria Reference" sheetId="2" state="visible" r:id="rId4"/>
    <sheet name="Sources" sheetId="3" state="visible" r:id="rId5"/>
    <sheet name="Assessment Matrix" sheetId="4" state="visible" r:id="rId6"/>
    <sheet name="Dashboard" sheetId="5" state="visible" r:id="rId7"/>
    <sheet name="Power &amp; Utilities" sheetId="6" state="visible" r:id="rId8"/>
    <sheet name="Steel" sheetId="7" state="visible" r:id="rId9"/>
    <sheet name="Cement" sheetId="8" state="visible" r:id="rId10"/>
    <sheet name="Chemicals" sheetId="9" state="visible" r:id="rId11"/>
    <sheet name="Critical Minerals &amp; Mining" sheetId="10" state="visible" r:id="rId12"/>
    <sheet name="Aviation" sheetId="11" state="visible" r:id="rId13"/>
    <sheet name="Shipping" sheetId="12" state="visible" r:id="rId14"/>
    <sheet name="Heavy-Duty Road Transport" sheetId="13" state="visible" r:id="rId15"/>
    <sheet name="Oil &amp; Gas Upstream" sheetId="14" state="visible" r:id="rId16"/>
  </sheets>
  <definedNames>
    <definedName function="false" hidden="false" localSheetId="3" name="_xlnm.Print_Titles" vbProcedure="false">'Assessment Matrix'!$2:$2</definedName>
    <definedName function="false" hidden="false" localSheetId="10" name="_xlnm.Print_Titles" vbProcedure="false">Aviation!$6:$6</definedName>
    <definedName function="false" hidden="false" localSheetId="7" name="_xlnm.Print_Titles" vbProcedure="false">Cement!$6:$6</definedName>
    <definedName function="false" hidden="false" localSheetId="8" name="_xlnm.Print_Titles" vbProcedure="false">Chemicals!$6:$6</definedName>
    <definedName function="false" hidden="false" localSheetId="1" name="_xlnm.Print_Titles" vbProcedure="false">'Criteria Reference'!$2:$2</definedName>
    <definedName function="false" hidden="false" localSheetId="9" name="_xlnm.Print_Titles" vbProcedure="false">'Critical Minerals &amp; Mining'!$6:$6</definedName>
    <definedName function="false" hidden="false" localSheetId="12" name="_xlnm.Print_Titles" vbProcedure="false">'Heavy-Duty Road Transport'!$6:$6</definedName>
    <definedName function="false" hidden="false" localSheetId="13" name="_xlnm.Print_Titles" vbProcedure="false">'Oil &amp; Gas Upstream'!$6:$6</definedName>
    <definedName function="false" hidden="false" localSheetId="5" name="_xlnm.Print_Titles" vbProcedure="false">'Power &amp; Utilities'!$6:$6</definedName>
    <definedName function="false" hidden="false" localSheetId="11" name="_xlnm.Print_Titles" vbProcedure="false">Shipping!$6:$6</definedName>
    <definedName function="false" hidden="false" localSheetId="6" name="_xlnm.Print_Titles" vbProcedure="false">Steel!$6:$6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<sst xmlns="http://schemas.openxmlformats.org/spreadsheetml/2006/main" count="3052" uniqueCount="902">
  <si>
    <t xml:space="preserve">Transition Barrier Assessment — Working Tool</t>
  </si>
  <si>
    <t xml:space="preserve">CLTI Dimension 1: Transition Feasibility — Sector × Region Assessment</t>
  </si>
  <si>
    <t xml:space="preserve">What this workbook is</t>
  </si>
  <si>
    <t xml:space="preserve">A living research tool for assessing transition feasibility barriers — Technology, Regulation, and Demand &amp; Economics — across 9 hard-to-abate sectors and 3 regions (EU, US, China). It is designed to be updated on an ongoing basis as new evidence is published by the named authoritative sources, and eventually to be partially automated (see the Pipeline Design Document).</t>
  </si>
  <si>
    <t xml:space="preserve">How to use it</t>
  </si>
  <si>
    <t xml:space="preserve">1. Criteria Reference</t>
  </si>
  <si>
    <t xml:space="preserve">The fixed assessment framework — 35 criteria (mostly 3-4 per sector) across the three constraint categories. Each criterion has a precise metric, a scoring rubric, and named authoritative sources. This sheet should change rarely — only when the criteria themselves are refined.</t>
  </si>
  <si>
    <t xml:space="preserve">2. Assessment Matrix</t>
  </si>
  <si>
    <t xml:space="preserve">The working sheet. One row per sector × criterion × region (105 rows). Rating, Confidence, Evidence, and Source columns are editable — shown with a light blue fill and blue font. Update these as research progresses. Rating and Confidence use dropdown validation to keep values consistent.</t>
  </si>
  <si>
    <t xml:space="preserve">3. Dashboard</t>
  </si>
  <si>
    <t xml:space="preserve">Automatically computed sector × region summary, built with formulas that reference the Assessment Matrix. It recalculates as you update ratings — no manual maintenance needed.</t>
  </si>
  <si>
    <t xml:space="preserve">4. Sector sheets (Steel, Cement, etc.)</t>
  </si>
  <si>
    <t xml:space="preserve">Optional per-sector filtered views for focused research sessions — same data as the Assessment Matrix, pre-filtered to one sector, useful when a researcher is working through a single sector's citations.</t>
  </si>
  <si>
    <t xml:space="preserve">Rating scale</t>
  </si>
  <si>
    <t xml:space="preserve">●●●  H</t>
  </si>
  <si>
    <t xml:space="preserve">High feasibility — Commercial pathway available now, or economics/regulation already supportive at scale</t>
  </si>
  <si>
    <t xml:space="preserve">●●○  M</t>
  </si>
  <si>
    <t xml:space="preserve">Moderate feasibility — Pathway exists or is emerging; at least one material constraint unresolved</t>
  </si>
  <si>
    <t xml:space="preserve">●○○  L</t>
  </si>
  <si>
    <t xml:space="preserve">Low feasibility — Pathway not commercially available, or a required precondition (infrastructure, price, mandate) is absent</t>
  </si>
  <si>
    <t xml:space="preserve">Confidence tiers</t>
  </si>
  <si>
    <t xml:space="preserve">confidence: high = directly sourced from a named primary document with a verified URL, checked within the last research cycle; medium = sourced but figure may be &gt;12 months old, from a secondary/aggregator source, or triangulated from multiple partial sources; low = directional estimate pending primary source verification (typically because the primary source is not in English, is subscription-gated, or requires company-specific retrieval not yet performed).</t>
  </si>
  <si>
    <t xml:space="preserve">Assessment basis and important caveat</t>
  </si>
  <si>
    <t xml:space="preserve">Desk research synthesis by the CLTI research team. Sources were verified directly against primary publishers (EUR-Lex for all EU legislation, official agency sites for US/China regulatory sources, and named institutional report pages for IEA/IRENA/USGS/World Bank/NGFS/IPCC data) across two verification passes, with 88 of 95 source entries across the 35-criteria schema carrying a precise, checked URL or document locator. The remaining 7 are company-disclosure sources, correctly flagged with a retrieval methodology rather than a single URL, since the relevant company varies by which entity is being assessed. Seven ratings were revised during the first verification pass to reflect material 2025 policy developments not captured in the original baseline — most significantly the One Big Beautiful Bill Act's acceleration of Section 45V and termination of Section 30D, and the Congressional Review Act repeal of the EPA methane fee. A second pass added five further institutional sources (Energy Transitions Commission, NGFS Scenario Explorer, LSE Grantham's Climate Change Laws of the World, IPCC AR6 WG3, and McKinsey green premium research) that strengthen the evidentiary base for carbon-price thresholds, technology pathways, and weak single-country government sources. Figures should still be treated as a snapshot: even verified sources move, and each rating's 'Last Verified' date in the Assessment Matrix is the field to check before using a figure in a client-facing output.</t>
  </si>
  <si>
    <t xml:space="preserve">Last updated: 2026-08-14</t>
  </si>
  <si>
    <t xml:space="preserve">CLTI Dimension 1 — Criteria Reference (35 criteria across 9 sectors)</t>
  </si>
  <si>
    <t xml:space="preserve">88 of 95 sources carry a verified, clickable locator — see the Sources sheet for the full registry.</t>
  </si>
  <si>
    <t xml:space="preserve">Sector</t>
  </si>
  <si>
    <t xml:space="preserve">Category</t>
  </si>
  <si>
    <t xml:space="preserve">Code</t>
  </si>
  <si>
    <t xml:space="preserve">Criterion</t>
  </si>
  <si>
    <t xml:space="preserve">Metric Definition</t>
  </si>
  <si>
    <t xml:space="preserve">Unit</t>
  </si>
  <si>
    <t xml:space="preserve">Rubric — High</t>
  </si>
  <si>
    <t xml:space="preserve">Rubric — Moderate</t>
  </si>
  <si>
    <t xml:space="preserve">Rubric — Low</t>
  </si>
  <si>
    <t xml:space="preserve">Primary Sources</t>
  </si>
  <si>
    <t xml:space="preserve">Source Links</t>
  </si>
  <si>
    <t xml:space="preserve">Power &amp; Utilities</t>
  </si>
  <si>
    <t xml:space="preserve">Technology</t>
  </si>
  <si>
    <t xml:space="preserve">PWR-T1</t>
  </si>
  <si>
    <t xml:space="preserve">Levelised cost of renewable generation vs. new-build fossil</t>
  </si>
  <si>
    <t xml:space="preserve">LCOE of utility-scale solar PV and onshore wind (USD/MWh) vs. LCOE of new-build CCGT/coal in the same region</t>
  </si>
  <si>
    <t xml:space="preserve">USD/MWh, ratio</t>
  </si>
  <si>
    <t xml:space="preserve">Renewable LCOE at or below new-build fossil LCOE without subsidy</t>
  </si>
  <si>
    <t xml:space="preserve">Renewable LCOE within 10-30% of new-build fossil LCOE, or below only with subsidy</t>
  </si>
  <si>
    <t xml:space="preserve">Renewable LCOE more than 30% above new-build fossil LCOE</t>
  </si>
  <si>
    <t xml:space="preserve">IEA World Energy Investment (International Energy Agency); IRENA Renewable Power Generation Costs (International Renewable Energy Agency); Lazard Levelized Cost of Energy Analysis (Lazard)</t>
  </si>
  <si>
    <t xml:space="preserve">https://www.iea.org/reports/world-energy-investment-2025
https://www.irena.org/Publications/2024/Sep/Renewable-Power-Generation-Costs-in-2023
https://www.lazard.com/research-insights/levelized-cost-of-energyplus/</t>
  </si>
  <si>
    <t xml:space="preserve">PWR-T2</t>
  </si>
  <si>
    <t xml:space="preserve">Grid-scale storage / firming technology readiness</t>
  </si>
  <si>
    <t xml:space="preserve">Deployed grid-scale battery storage capacity (GWh) relative to variable renewable capacity (GW) in the region; TRL of long-duration storage</t>
  </si>
  <si>
    <t xml:space="preserve">GWh storage per GW variable renewables</t>
  </si>
  <si>
    <t xml:space="preserve">Storage-to-renewables ratio and grid flexibility sufficient to avoid material curtailment (region-specific benchmark, informed by IEA grid integration studies)</t>
  </si>
  <si>
    <t xml:space="preserve">Storage deployment underway but curtailment or grid congestion already material</t>
  </si>
  <si>
    <t xml:space="preserve">Storage capacity negligible relative to variable renewable penetration</t>
  </si>
  <si>
    <t xml:space="preserve">IEA Energy Storage (International Energy Agency); BloombergNEF Energy Storage Outlook (BloombergNEF)</t>
  </si>
  <si>
    <t xml:space="preserve">https://www.iea.org/energy-system/electricity/grid-scale-storage
https://about.bnef.com/</t>
  </si>
  <si>
    <t xml:space="preserve">Regulation</t>
  </si>
  <si>
    <t xml:space="preserve">PWR-R1</t>
  </si>
  <si>
    <t xml:space="preserve">Effective carbon price on power generation</t>
  </si>
  <si>
    <t xml:space="preserve">Carbon price applicable to power sector emissions (ETS price, carbon tax, or implicit price via clean energy mandate penalty)</t>
  </si>
  <si>
    <t xml:space="preserve">USD/tCO2</t>
  </si>
  <si>
    <t xml:space="preserve">Effective carbon price exceeds USD 60/tCO2 or binding 100% clean generation mandate with penalty</t>
  </si>
  <si>
    <t xml:space="preserve">Effective carbon price USD 15-60/tCO2, or clean generation target without binding penalty</t>
  </si>
  <si>
    <t xml:space="preserve">No material carbon price or clean generation mandate</t>
  </si>
  <si>
    <t xml:space="preserve">EU ETS carbon price (European Energy Exchange (EEX) / European Commission); World Bank Carbon Pricing Dashboard (World Bank Group); China national ETS price (Shanghai Environment and Energy Exchange); NGFS Climate Scenarios (Network for Greening the Financial System (127 central banks and supervisors), hosted by IIASA)</t>
  </si>
  <si>
    <t xml:space="preserve">https://www.eex.com/en/market-data/environmental-markets/spot-market
https://carbonpricingdashboard.worldbank.org/
https://www.cneeex.com/
https://www.ngfs.net/ngfs-scenarios-portal/data-resources/</t>
  </si>
  <si>
    <t xml:space="preserve">PWR-R2</t>
  </si>
  <si>
    <t xml:space="preserve">Renewable deployment target and permitting regime</t>
  </si>
  <si>
    <t xml:space="preserve">Legally binding renewable capacity target (GW or % of generation) by target year; average grid connection queue time (years)</t>
  </si>
  <si>
    <t xml:space="preserve">GW target, years to connect</t>
  </si>
  <si>
    <t xml:space="preserve">Legally binding target with permitting reform reducing connection queue below 3 years</t>
  </si>
  <si>
    <t xml:space="preserve">Target exists (binding or aspirational) but connection queue exceeds 3 years</t>
  </si>
  <si>
    <t xml:space="preserve">No binding target, or connection queue exceeds 7 years</t>
  </si>
  <si>
    <t xml:space="preserve">EU REPowerEU / Fit for 55 targets (European Commission); IEA Renewables market report (International Energy Agency); China NEA renewable targets (National Energy Administration (China))</t>
  </si>
  <si>
    <t xml:space="preserve">https://eur-lex.europa.eu/eli/dir/2018/2001/oj
https://www.iea.org/reports/renewables-2024
https://www.nea.gov.cn/</t>
  </si>
  <si>
    <t xml:space="preserve">Demand &amp; Economics</t>
  </si>
  <si>
    <t xml:space="preserve">PWR-D1</t>
  </si>
  <si>
    <t xml:space="preserve">Corporate and utility PPA market depth</t>
  </si>
  <si>
    <t xml:space="preserve">Annual volume of signed corporate/utility power purchase agreements (GW) for renewable generation in the region</t>
  </si>
  <si>
    <t xml:space="preserve">GW/year signed</t>
  </si>
  <si>
    <t xml:space="preserve">PPA market established and growing; multi-year forward contracting standard practice</t>
  </si>
  <si>
    <t xml:space="preserve">PPA market exists but thin or concentrated in few counterparties</t>
  </si>
  <si>
    <t xml:space="preserve">PPA market negligible; renewable generation sold predominantly on spot/merchant basis</t>
  </si>
  <si>
    <t xml:space="preserve">BloombergNEF Corporate Energy Market Outlook (BloombergNEF); RE100 Annual Report (Climate Group / CDP)</t>
  </si>
  <si>
    <t xml:space="preserve">https://about.bnef.com/
https://www.there100.org/re100-progress-and-insights-annual-report</t>
  </si>
  <si>
    <t xml:space="preserve">Steel</t>
  </si>
  <si>
    <t xml:space="preserve">STL-T1</t>
  </si>
  <si>
    <t xml:space="preserve">Green hydrogen cost vs. DRI-H2 breakeven</t>
  </si>
  <si>
    <t xml:space="preserve">Delivered cost of green hydrogen (USD/kg) at production site, vs. estimated breakeven cost for DRI-H2 route to be cost-competitive with BF-BOF at prevailing carbon price</t>
  </si>
  <si>
    <t xml:space="preserve">USD/kg H2</t>
  </si>
  <si>
    <t xml:space="preserve">Green hydrogen cost at or below breakeven (typically cited ~USD 1.5-2.0/kg range, region-specific)</t>
  </si>
  <si>
    <t xml:space="preserve">Green hydrogen cost within 2x of breakeven</t>
  </si>
  <si>
    <t xml:space="preserve">Green hydrogen cost more than 2x breakeven, or no green hydrogen supply chain present</t>
  </si>
  <si>
    <t xml:space="preserve">IEA Global Hydrogen Review (International Energy Agency); Mission Possible Partnership Steel Transition Strategy (Mission Possible Partnership / Energy Transitions Commission); BloombergNEF Hydrogen Levelized Cost Report (BloombergNEF); Mission Possible: Reaching Net-Zero Carbon Emissions from Harder-to-Abate Sectors (Energy Transitions Commission (ETC))</t>
  </si>
  <si>
    <t xml:space="preserve">https://www.iea.org/reports/global-hydrogen-review-2024
https://missionpossiblepartnership.org/publications/
https://about.bnef.com/
https://www.energy-transitions.org/publications/mission-possible/</t>
  </si>
  <si>
    <t xml:space="preserve">STL-T2</t>
  </si>
  <si>
    <t xml:space="preserve">Scrap steel availability (EAF route feasibility)</t>
  </si>
  <si>
    <t xml:space="preserve">Domestic scrap steel collection and availability as % of crude steel production capacity</t>
  </si>
  <si>
    <t xml:space="preserve">% of production</t>
  </si>
  <si>
    <t xml:space="preserve">Scrap availability exceeds 50% of production capacity, supporting EAF as viable low-carbon route without new technology</t>
  </si>
  <si>
    <t xml:space="preserve">Scrap availability 25-50% of production capacity</t>
  </si>
  <si>
    <t xml:space="preserve">Scrap availability below 25% of production capacity</t>
  </si>
  <si>
    <t xml:space="preserve">World Steel Association Steel Statistical Yearbook (World Steel Association (worldsteel)); OECD Steel Market Developments (OECD Steel Committee)</t>
  </si>
  <si>
    <t xml:space="preserve">https://worldsteel.org/data/world-steel-in-figures/
https://www.oecd.org/en/topics/sub-issues/steel-market-developments.html</t>
  </si>
  <si>
    <t xml:space="preserve">STL-R1</t>
  </si>
  <si>
    <t xml:space="preserve">Effective carbon price on steel production incl. border adjustment</t>
  </si>
  <si>
    <t xml:space="preserve">ETS/carbon tax price applicable to steel production, adjusted for free allocation phase-out and any import border levy (e.g. CBAM)</t>
  </si>
  <si>
    <t xml:space="preserve">USD/tCO2 net of free allocation</t>
  </si>
  <si>
    <t xml:space="preserve">Effective carbon price (net of free allocation) exceeds USD 50/tCO2 with border levy protecting domestic producers from unpriced imports</t>
  </si>
  <si>
    <t xml:space="preserve">Carbon price applies but free allocation still material, or no border levy protecting against unpriced competition</t>
  </si>
  <si>
    <t xml:space="preserve">No material carbon price on steel production</t>
  </si>
  <si>
    <t xml:space="preserve">EU CBAM Regulation (2023/956) and implementing acts (European Commission / Official Journal of the EU); EU ETS free allocation benchmarks - steel (European Commission DG CLIMA); China national ETS sector coverage roadmap (Ministry of Ecology and Environment (China)); NGFS Climate Scenarios (Network for Greening the Financial System (127 central banks and supervisors), hosted by IIASA)</t>
  </si>
  <si>
    <t xml:space="preserve">https://eur-lex.europa.eu/eli/reg/2023/956/oj/eng
https://eur-lex.europa.eu/eli/reg_impl/2021/447/2026-03-18/eng
https://www.mee.gov.cn/
https://www.ngfs.net/ngfs-scenarios-portal/data-resources/</t>
  </si>
  <si>
    <t xml:space="preserve">STL-R2</t>
  </si>
  <si>
    <t xml:space="preserve">Green/low-carbon steel public procurement or building-code mandate</t>
  </si>
  <si>
    <t xml:space="preserve">Existence and scope of government mandate requiring low-carbon steel in public infrastructure procurement or building codes</t>
  </si>
  <si>
    <t xml:space="preserve">Binary/scope descriptor</t>
  </si>
  <si>
    <t xml:space="preserve">Binding mandate in force covering material share of public procurement or construction</t>
  </si>
  <si>
    <t xml:space="preserve">Voluntary standard or pilot mandate exists</t>
  </si>
  <si>
    <t xml:space="preserve">No mandate or standard exists</t>
  </si>
  <si>
    <t xml:space="preserve">EU Green Public Procurement criteria - construction (European Commission DG ENV); US Federal Buy Clean Initiative (US General Services Administration / EPA); National/state building codes register (Various national standards bodies)</t>
  </si>
  <si>
    <t xml:space="preserve">https://green-business.ec.europa.eu/green-public-procurement_en
https://www.sustainability.gov/buyclean/
https://www.iccsafe.org/</t>
  </si>
  <si>
    <t xml:space="preserve">STL-D1</t>
  </si>
  <si>
    <t xml:space="preserve">Green steel price premium and recoverability</t>
  </si>
  <si>
    <t xml:space="preserve">Market premium for certified low-carbon steel (USD/tonne) vs. conventional, and share of premium covered by signed offtake contracts</t>
  </si>
  <si>
    <t xml:space="preserve">USD/tonne premium; % under contract</t>
  </si>
  <si>
    <t xml:space="preserve">Documented offtake contracts (e.g. automotive OEM commitments) cover a material share of announced low-carbon capacity at a disclosed premium</t>
  </si>
  <si>
    <t xml:space="preserve">Premium exists and some pilot offtake agreements signed, but limited volume</t>
  </si>
  <si>
    <t xml:space="preserve">No documented premium recovery mechanism; no material offtake contracts identified</t>
  </si>
  <si>
    <t xml:space="preserve">BloombergNEF Green Steel Tracker / Premium report (BloombergNEF); Company investor disclosures (Individual steelmakers (annual reports, capital markets days)); Mission Possible Partnership Steel sector tracker (Mission Possible Partnership)</t>
  </si>
  <si>
    <t xml:space="preserve">https://about.bnef.com/
https://missionpossiblepartnership.org/publications/</t>
  </si>
  <si>
    <t xml:space="preserve">Cement</t>
  </si>
  <si>
    <t xml:space="preserve">CEM-T1</t>
  </si>
  <si>
    <t xml:space="preserve">CCS capture technology deployment status</t>
  </si>
  <si>
    <t xml:space="preserve">Number and capacity (Mtpa CO2) of operational or under-construction full-scale cement CCS facilities in the region</t>
  </si>
  <si>
    <t xml:space="preserve">Mtpa capacity, facility count</t>
  </si>
  <si>
    <t xml:space="preserve">At least one full-scale (&gt;0.3 Mtpa) operational facility in the region with a track record</t>
  </si>
  <si>
    <t xml:space="preserve">Facility under construction or in final investment decision (FID) stage</t>
  </si>
  <si>
    <t xml:space="preserve">No full-scale facility operational, under construction, or FID-approved in the region</t>
  </si>
  <si>
    <t xml:space="preserve">Global CCS Institute CO2RE database (Global CCS Institute); IEA CCUS Projects Database (International Energy Agency); Mission Possible: Reaching Net-Zero Carbon Emissions from Harder-to-Abate Sectors (Energy Transitions Commission (ETC))</t>
  </si>
  <si>
    <t xml:space="preserve">https://co2re.co/FacilityData
https://co2re.co/FacilityData
https://www.energy-transitions.org/publications/mission-possible/</t>
  </si>
  <si>
    <t xml:space="preserve">CEM-T2</t>
  </si>
  <si>
    <t xml:space="preserve">Clinker substitution rate (SCM availability)</t>
  </si>
  <si>
    <t xml:space="preserve">Average clinker-to-cement ratio in the region; availability of supplementary cementitious materials (fly ash, slag, calcined clay)</t>
  </si>
  <si>
    <t xml:space="preserve">Clinker ratio (%)</t>
  </si>
  <si>
    <t xml:space="preserve">Regional clinker ratio below 0.65 with active SCM substitution programmes</t>
  </si>
  <si>
    <t xml:space="preserve">Clinker ratio 0.65-0.80</t>
  </si>
  <si>
    <t xml:space="preserve">Clinker ratio above 0.80 with limited SCM availability</t>
  </si>
  <si>
    <t xml:space="preserve">Global Cement and Concrete Association (GCCA) sustainability data (GCCA); IEA Cement Technology Roadmap (International Energy Agency)</t>
  </si>
  <si>
    <t xml:space="preserve">https://gccassociation.org/sustainability-innovation/gnr-gcca-in-numbers/
https://www.iea.org/energy-system/industry/cement</t>
  </si>
  <si>
    <t xml:space="preserve">CEM-R1</t>
  </si>
  <si>
    <t xml:space="preserve">Effective carbon price on cement production incl. border adjustment</t>
  </si>
  <si>
    <t xml:space="preserve">ETS/carbon tax price applicable to cement, net of free allocation, adjusted for any import border levy</t>
  </si>
  <si>
    <t xml:space="preserve">Effective net carbon price exceeds USD 50/tCO2 with border levy in force</t>
  </si>
  <si>
    <t xml:space="preserve">Carbon price applies but free allocation still material or no border levy</t>
  </si>
  <si>
    <t xml:space="preserve">No material carbon price on cement production</t>
  </si>
  <si>
    <t xml:space="preserve">EU CBAM Regulation - cement sector scope (European Commission / Official Journal of the EU); EU ETS free allocation benchmarks - cement clinker (European Commission DG CLIMA); NGFS Climate Scenarios (Network for Greening the Financial System (127 central banks and supervisors), hosted by IIASA)</t>
  </si>
  <si>
    <t xml:space="preserve">https://eur-lex.europa.eu/eli/reg/2023/956/oj/eng
https://eur-lex.europa.eu/eli/reg_impl/2021/447/2026-03-18/eng
https://www.ngfs.net/ngfs-scenarios-portal/data-resources/</t>
  </si>
  <si>
    <t xml:space="preserve">CEM-R2</t>
  </si>
  <si>
    <t xml:space="preserve">CCS infrastructure support scheme</t>
  </si>
  <si>
    <t xml:space="preserve">Existence of public funding mechanism for CCS infrastructure (capture, transport, storage) applicable to cement plants</t>
  </si>
  <si>
    <t xml:space="preserve">Binary/scope, EUR or USD committed</t>
  </si>
  <si>
    <t xml:space="preserve">Dedicated public funding scheme active with disbursed grants to cement CCS projects</t>
  </si>
  <si>
    <t xml:space="preserve">Funding scheme exists but no disbursement to cement sector yet, or funding limited/competitive</t>
  </si>
  <si>
    <t xml:space="preserve">No public funding mechanism identified for industrial CCS</t>
  </si>
  <si>
    <t xml:space="preserve">EU Innovation Fund award decisions (European Climate, Infrastructure and Environment Executive Agency (CINEA)); US DOE Industrial Demonstrations Program awards (US Department of Energy); China industrial decarbonisation funding programmes (National Development and Reform Commission (China))</t>
  </si>
  <si>
    <t xml:space="preserve">https://cinea.ec.europa.eu/programmes/innovation-fund_en
https://www.energy.gov/oced/industrial-demonstrations-program
https://www.mee.gov.cn/</t>
  </si>
  <si>
    <t xml:space="preserve">CEM-D1</t>
  </si>
  <si>
    <t xml:space="preserve">Low-carbon cement premium recoverability</t>
  </si>
  <si>
    <t xml:space="preserve">Market premium for low-carbon/CCS-derived cement (USD/tonne) vs. conventional; share recoverable via green public procurement</t>
  </si>
  <si>
    <t xml:space="preserve">USD/tonne premium; % public procurement covered</t>
  </si>
  <si>
    <t xml:space="preserve">Green public procurement rules or embodied-carbon building codes create binding demand covering a material share of low-carbon capacity</t>
  </si>
  <si>
    <t xml:space="preserve">Voluntary standards or pilot procurement commitments exist</t>
  </si>
  <si>
    <t xml:space="preserve">No recoverable premium mechanism identified</t>
  </si>
  <si>
    <t xml:space="preserve">EU Green Public Procurement - construction criteria (European Commission DG ENV); Company investor disclosures (Individual cement producers (e.g. Heidelberg Materials, Holcim)); First Movers Coalition Cement &amp; Concrete commitments (World Economic Forum / US State Department)</t>
  </si>
  <si>
    <t xml:space="preserve">https://green-business.ec.europa.eu/green-public-procurement_en
https://www.weforum.org/communities/first-movers-coalition/</t>
  </si>
  <si>
    <t xml:space="preserve">Chemicals</t>
  </si>
  <si>
    <t xml:space="preserve">CHM-T1</t>
  </si>
  <si>
    <t xml:space="preserve">Green/blue hydrogen availability for ammonia and feedstock use</t>
  </si>
  <si>
    <t xml:space="preserve">Delivered cost of low-carbon hydrogen (USD/kg) vs. grey hydrogen cost at prevailing natural gas price</t>
  </si>
  <si>
    <t xml:space="preserve">USD/kg H2, cost ratio</t>
  </si>
  <si>
    <t xml:space="preserve">Low-carbon hydrogen cost within 20% of grey hydrogen cost, or carbon price closes the gap</t>
  </si>
  <si>
    <t xml:space="preserve">Low-carbon hydrogen cost 20-100% above grey hydrogen cost</t>
  </si>
  <si>
    <t xml:space="preserve">Low-carbon hydrogen more than 2x grey hydrogen cost, or no low-carbon hydrogen supply chain present</t>
  </si>
  <si>
    <t xml:space="preserve">IEA Global Hydrogen Review (International Energy Agency); IEA The Future of Petrochemicals (International Energy Agency); Mission Possible: Reaching Net-Zero Carbon Emissions from Harder-to-Abate Sectors (Energy Transitions Commission (ETC))</t>
  </si>
  <si>
    <t xml:space="preserve">https://www.iea.org/reports/global-hydrogen-review-2024
https://www.iea.org/reports/world-energy-outlook-2024
https://www.energy-transitions.org/publications/mission-possible/</t>
  </si>
  <si>
    <t xml:space="preserve">CHM-T2</t>
  </si>
  <si>
    <t xml:space="preserve">Electrification of process heat (steam cracking) readiness</t>
  </si>
  <si>
    <t xml:space="preserve">TRL of electric steam cracker technology; number of announced/piloted electric cracker projects</t>
  </si>
  <si>
    <t xml:space="preserve">TRL, project count</t>
  </si>
  <si>
    <t xml:space="preserve">TRL 7+ with commercial-scale pilot operating or announced FID</t>
  </si>
  <si>
    <t xml:space="preserve">TRL 5-6, demonstration scale only</t>
  </si>
  <si>
    <t xml:space="preserve">TRL below 5, lab/concept stage only</t>
  </si>
  <si>
    <t xml:space="preserve">IEA The Future of Petrochemicals (International Energy Agency); Company/consortium technical disclosures (e.g. BASF/SABIC/Linde electric cracker pilot)</t>
  </si>
  <si>
    <t xml:space="preserve">https://www.iea.org/reports/world-energy-outlook-2024</t>
  </si>
  <si>
    <t xml:space="preserve">CHM-R1</t>
  </si>
  <si>
    <t xml:space="preserve">Effective carbon price on chemicals production incl. border adjustment</t>
  </si>
  <si>
    <t xml:space="preserve">ETS/carbon tax price applicable to chemicals production, net of free allocation, adjusted for any border levy where scope includes chemicals</t>
  </si>
  <si>
    <t xml:space="preserve">Effective net carbon price exceeds USD 50/tCO2 with border levy protection in force</t>
  </si>
  <si>
    <t xml:space="preserve">Carbon price applies but free allocation material or no border levy</t>
  </si>
  <si>
    <t xml:space="preserve">No material carbon price on chemicals production</t>
  </si>
  <si>
    <t xml:space="preserve">EU ETS free allocation benchmarks - chemicals subsectors (European Commission DG CLIMA); EU CBAM scope review - chemicals inclusion status (European Commission); NGFS Climate Scenarios (Network for Greening the Financial System (127 central banks and supervisors), hosted by IIASA)</t>
  </si>
  <si>
    <t xml:space="preserve">https://eur-lex.europa.eu/eli/reg_impl/2021/447/2026-03-18/eng
https://eur-lex.europa.eu/eli/reg/2023/956/oj/eng
https://www.ngfs.net/ngfs-scenarios-portal/data-resources/</t>
  </si>
  <si>
    <t xml:space="preserve">CHM-D1</t>
  </si>
  <si>
    <t xml:space="preserve">Green ammonia/methanol offtake market</t>
  </si>
  <si>
    <t xml:space="preserve">Volume (tonnes/year) of signed offtake agreements for green ammonia or green methanol, primarily driven by shipping fuel demand</t>
  </si>
  <si>
    <t xml:space="preserve">Tonnes/year signed offtake</t>
  </si>
  <si>
    <t xml:space="preserve">Material signed offtake volume from shipping or industrial buyers at disclosed premium</t>
  </si>
  <si>
    <t xml:space="preserve">Pilot-scale offtake agreements signed, limited volume</t>
  </si>
  <si>
    <t xml:space="preserve">No material offtake agreements identified</t>
  </si>
  <si>
    <t xml:space="preserve">IMO GHG Strategy implementation tracker (International Maritime Organization); Company investor disclosures (e.g. Maersk, Yara, OCI)</t>
  </si>
  <si>
    <t xml:space="preserve">https://www.imo.org/en/OurWork/Environment/Pages/2023-IMO-Strategy-on-Reduction-of-GHG-Emissions-from-Ships.aspx</t>
  </si>
  <si>
    <t xml:space="preserve">Critical Minerals &amp; Mining</t>
  </si>
  <si>
    <t xml:space="preserve">MIN-T1</t>
  </si>
  <si>
    <t xml:space="preserve">Mine electrification and processing technology readiness</t>
  </si>
  <si>
    <t xml:space="preserve">Share of new mining equipment orders that are battery-electric; TRL of electrified ore processing</t>
  </si>
  <si>
    <t xml:space="preserve">% of equipment orders</t>
  </si>
  <si>
    <t xml:space="preserve">Battery-electric equipment commercially deployed at scale (multiple operating mines)</t>
  </si>
  <si>
    <t xml:space="preserve">Pilot deployments underway, limited scale</t>
  </si>
  <si>
    <t xml:space="preserve">Battery-electric equipment not yet deployed at operating mines in the region</t>
  </si>
  <si>
    <t xml:space="preserve">IEA Critical Minerals Outlook (International Energy Agency); S&amp;P Global Market Intelligence - Metals &amp; Mining (S&amp;P Global)</t>
  </si>
  <si>
    <t xml:space="preserve">https://www.iea.org/reports/global-critical-minerals-outlook-2024
https://www.spglobal.com/marketintelligence/en/sector/metals-mining</t>
  </si>
  <si>
    <t xml:space="preserve">MIN-R1</t>
  </si>
  <si>
    <t xml:space="preserve">Fast-track permitting regime for strategic minerals projects</t>
  </si>
  <si>
    <t xml:space="preserve">Statutory maximum permitting timeline (months) for a designated strategic minerals project</t>
  </si>
  <si>
    <t xml:space="preserve">Months</t>
  </si>
  <si>
    <t xml:space="preserve">Statutory fast-track permitting in force with maximum timeline below 30 months</t>
  </si>
  <si>
    <t xml:space="preserve">Fast-track process exists but timeline exceeds 30 months or is discretionary</t>
  </si>
  <si>
    <t xml:space="preserve">No fast-track permitting regime; standard permitting exceeds 5 years</t>
  </si>
  <si>
    <t xml:space="preserve">EU Critical Raw Materials Act (Regulation 2024/1252) (Official Journal of the European Union); US Fixing America's Surface Transportation Act / permitting reform tracker (US Department of Interior / Congressional Research Service); China Ministry of Natural Resources mining approval process (Ministry of Natural Resources (China))</t>
  </si>
  <si>
    <t xml:space="preserve">https://eur-lex.europa.eu/eli/reg/2024/1252/2024-05-03/eng
https://www.congress.gov/bill/118th-congress/house-bill/1
https://www.mnr.gov.cn/</t>
  </si>
  <si>
    <t xml:space="preserve">MIN-R2</t>
  </si>
  <si>
    <t xml:space="preserve">Domestic sourcing / content requirement policy</t>
  </si>
  <si>
    <t xml:space="preserve">Existence and threshold of domestic or allied-sourcing content requirements tied to subsidy eligibility or public procurement</t>
  </si>
  <si>
    <t xml:space="preserve">Binary, % threshold</t>
  </si>
  <si>
    <t xml:space="preserve">Binding domestic/allied content requirement in force tied to material subsidy value</t>
  </si>
  <si>
    <t xml:space="preserve">Requirement exists but threshold low or enforcement unclear</t>
  </si>
  <si>
    <t xml:space="preserve">No domestic content requirement policy identified</t>
  </si>
  <si>
    <t xml:space="preserve">US Inflation Reduction Act Section 30D critical minerals requirements (US Internal Revenue Service / US Treasury); EU Critical Raw Materials Act - benchmarks (Official Journal of the European Union)</t>
  </si>
  <si>
    <t xml:space="preserve">https://www.energy.gov/mesc/30d-new-clean-vehicle-credit
https://eur-lex.europa.eu/eli/reg/2024/1252/2024-05-03/eng</t>
  </si>
  <si>
    <t xml:space="preserve">MIN-D1</t>
  </si>
  <si>
    <t xml:space="preserve">Committed offtake and supply agreements vs. identified demand gap</t>
  </si>
  <si>
    <t xml:space="preserve">Volume of long-term offtake agreements signed (tonnes/year) as a share of the region's projected NZE-scenario demand gap for the mineral</t>
  </si>
  <si>
    <t xml:space="preserve">% of demand gap covered</t>
  </si>
  <si>
    <t xml:space="preserve">Signed offtake agreements and committed expansion capacity cover a material share of the identified regional supply gap</t>
  </si>
  <si>
    <t xml:space="preserve">Some offtake agreements signed but gap remains largely uncovered</t>
  </si>
  <si>
    <t xml:space="preserve">Minimal offtake activity relative to the scale of the demand gap</t>
  </si>
  <si>
    <t xml:space="preserve">IEA Critical Minerals Outlook - demand-supply gap tables (International Energy Agency); USGS Mineral Commodity Summaries (United States Geological Survey); Company investor disclosures (Individual miners (e.g. Freeport-McMoRan, Albemarle))</t>
  </si>
  <si>
    <t xml:space="preserve">https://www.iea.org/reports/global-critical-minerals-outlook-2024
https://www.usgs.gov/publications/mineral-commodity-summaries-2025</t>
  </si>
  <si>
    <t xml:space="preserve">Aviation</t>
  </si>
  <si>
    <t xml:space="preserve">AVI-T1</t>
  </si>
  <si>
    <t xml:space="preserve">SAF production capacity vs. jet fuel demand</t>
  </si>
  <si>
    <t xml:space="preserve">Regional SAF production capacity (million litres/year) as a share of total regional jet fuel demand</t>
  </si>
  <si>
    <t xml:space="preserve">% of jet fuel demand</t>
  </si>
  <si>
    <t xml:space="preserve">SAF capacity exceeds 5% of regional jet fuel demand with credible near-term expansion pipeline</t>
  </si>
  <si>
    <t xml:space="preserve">SAF capacity between 1-5% of demand</t>
  </si>
  <si>
    <t xml:space="preserve">SAF capacity below 1% of regional jet fuel demand</t>
  </si>
  <si>
    <t xml:space="preserve">IATA Sustainable Aviation Fuel Fact Sheet / SAF Tracker (International Air Transport Association); IEA Aviation tracking report (International Energy Agency); Mission Possible: Reaching Net-Zero Carbon Emissions from Harder-to-Abate Sectors (Energy Transitions Commission (ETC))</t>
  </si>
  <si>
    <t xml:space="preserve">https://www.iata.org/en/iata-repository/publications/economic-reports/sustainable-aviation-fuel-fact-sheet/
https://www.iea.org/reports/world-energy-outlook-2024
https://www.energy-transitions.org/publications/mission-possible/</t>
  </si>
  <si>
    <t xml:space="preserve">AVI-R1</t>
  </si>
  <si>
    <t xml:space="preserve">SAF blending mandate</t>
  </si>
  <si>
    <t xml:space="preserve">Legally binding minimum SAF blending percentage by target year</t>
  </si>
  <si>
    <t xml:space="preserve">% mandate by year</t>
  </si>
  <si>
    <t xml:space="preserve">Binding blending mandate in force with escalating schedule and penalties for non-compliance</t>
  </si>
  <si>
    <t xml:space="preserve">Mandate announced but not yet in force, or voluntary target only</t>
  </si>
  <si>
    <t xml:space="preserve">No blending mandate or target identified</t>
  </si>
  <si>
    <t xml:space="preserve">EU ReFuelEU Aviation Regulation (2023/2405) (Official Journal of the European Union); US SAF Grand Challenge / IRA 40B tax credit (US Department of Energy / US Treasury); ICAO CORSIA scheme status (International Civil Aviation Organization)</t>
  </si>
  <si>
    <t xml:space="preserve">https://eur-lex.europa.eu/eli/reg/2023/2405/oj
https://www.sustainability.gov/buyclean/
https://www.icao.int/environmental-protection/CORSIA/Pages/state-pairs.aspx</t>
  </si>
  <si>
    <t xml:space="preserve">AVI-D1</t>
  </si>
  <si>
    <t xml:space="preserve">SAF price premium and corporate offtake coverage</t>
  </si>
  <si>
    <t xml:space="preserve">SAF price premium vs. conventional jet fuel (USD/litre or multiple); volume covered by corporate/airline offtake agreements</t>
  </si>
  <si>
    <t xml:space="preserve">Price multiple; % covered by offtake</t>
  </si>
  <si>
    <t xml:space="preserve">Premium substantially offset by mandate compliance value or tax credit, with material offtake agreements in place</t>
  </si>
  <si>
    <t xml:space="preserve">Premium partially offset; limited offtake agreements</t>
  </si>
  <si>
    <t xml:space="preserve">Full premium borne by airline/passenger with no offset mechanism or offtake coverage</t>
  </si>
  <si>
    <t xml:space="preserve">IATA SAF price tracking (International Air Transport Association); Company disclosures (Airlines and SAF producers)</t>
  </si>
  <si>
    <t xml:space="preserve">https://www.iata.org/en/programs/environment/sustainable-aviation-fuels/</t>
  </si>
  <si>
    <t xml:space="preserve">Shipping</t>
  </si>
  <si>
    <t xml:space="preserve">SHP_T1</t>
  </si>
  <si>
    <t xml:space="preserve">Dual-fuel/alternative-fuel vessel order book</t>
  </si>
  <si>
    <t xml:space="preserve">Share of new vessel orders (by gross tonnage or vessel count) specified as methanol, ammonia, or LNG dual-fuel capable</t>
  </si>
  <si>
    <t xml:space="preserve">% of new orders</t>
  </si>
  <si>
    <t xml:space="preserve">Alternative-fuel-capable vessels exceed 30% of new orders in the relevant vessel class</t>
  </si>
  <si>
    <t xml:space="preserve">Alternative-fuel-capable vessels 10-30% of new orders</t>
  </si>
  <si>
    <t xml:space="preserve">Alternative-fuel-capable vessels below 10% of new orders</t>
  </si>
  <si>
    <t xml:space="preserve">Clarksons Research World Fleet Register (Clarksons Research); DNV Alternative Fuels Insight platform (DNV); Mission Possible: Reaching Net-Zero Carbon Emissions from Harder-to-Abate Sectors (Energy Transitions Commission (ETC))</t>
  </si>
  <si>
    <t xml:space="preserve">https://www.clarksons.net/wfr/
https://afi.dnv.com/
https://www.energy-transitions.org/publications/mission-possible/</t>
  </si>
  <si>
    <t xml:space="preserve">SHP_R1</t>
  </si>
  <si>
    <t xml:space="preserve">Effective carbon price / fuel intensity mandate on shipping</t>
  </si>
  <si>
    <t xml:space="preserve">Carbon price applicable to shipping emissions (e.g. EU ETS maritime inclusion) and/or binding fuel greenhouse gas intensity reduction mandate</t>
  </si>
  <si>
    <t xml:space="preserve">USD/tCO2; % intensity reduction mandate</t>
  </si>
  <si>
    <t xml:space="preserve">Both a carbon price and a binding fuel intensity mandate apply to shipping in this region</t>
  </si>
  <si>
    <t xml:space="preserve">One of the two mechanisms applies</t>
  </si>
  <si>
    <t xml:space="preserve">Neither mechanism applies; shipping decarbonisation remains voluntary</t>
  </si>
  <si>
    <t xml:space="preserve">EU ETS Maritime inclusion (Directive 2023/959) (Official Journal of the European Union); EU FuelEU Maritime Regulation (2023/1805) (Official Journal of the European Union); IMO Revised GHG Strategy and mid-term measures (International Maritime Organization)</t>
  </si>
  <si>
    <t xml:space="preserve">https://eur-lex.europa.eu/eli/dir/2023/959/oj
https://eur-lex.europa.eu/legal-content/en/LSU/?uri=CELEX%3A32023R1805
https://www.imo.org/en/OurWork/Environment/Pages/2023-IMO-Strategy-on-Reduction-of-GHG-Emissions-from-Ships.aspx</t>
  </si>
  <si>
    <t xml:space="preserve">SHP_D1</t>
  </si>
  <si>
    <t xml:space="preserve">Green shipping corridor and cargo owner offtake commitments</t>
  </si>
  <si>
    <t xml:space="preserve">Number of announced green shipping corridors; volume of freight committed by cargo owners (via Cargo Owners for Zero Emission Vessels or equivalent) to low-carbon shipping</t>
  </si>
  <si>
    <t xml:space="preserve">Corridor count; committed freight volume</t>
  </si>
  <si>
    <t xml:space="preserve">Multiple active green corridors with committed cargo volumes and disclosed premium mechanism</t>
  </si>
  <si>
    <t xml:space="preserve">Green corridors announced but limited committed volume</t>
  </si>
  <si>
    <t xml:space="preserve">No active green corridor commitments in the region's main trade routes</t>
  </si>
  <si>
    <t xml:space="preserve">Getting to Zero Coalition Green Corridors tracker (Global Maritime Forum); Company disclosures (e.g. Maersk, cargo owner coalitions (coZEV))</t>
  </si>
  <si>
    <t xml:space="preserve">https://www.globalmaritimeforum.org/green-corridors</t>
  </si>
  <si>
    <t xml:space="preserve">Heavy-Duty Road Transport</t>
  </si>
  <si>
    <t xml:space="preserve">HDT-T1</t>
  </si>
  <si>
    <t xml:space="preserve">Battery-electric/fuel-cell truck TCO parity</t>
  </si>
  <si>
    <t xml:space="preserve">Total cost of ownership (TCO) of battery-electric heavy truck vs. diesel equivalent for the dominant regional duty cycle (regional distribution vs. long-haul)</t>
  </si>
  <si>
    <t xml:space="preserve">TCO ratio (BEV:diesel)</t>
  </si>
  <si>
    <t xml:space="preserve">TCO parity or advantage achieved for at least regional/depot-based duty cycles</t>
  </si>
  <si>
    <t xml:space="preserve">TCO within 20% of parity for depot-based cycles; long-haul not yet competitive</t>
  </si>
  <si>
    <t xml:space="preserve">TCO more than 20% above diesel for all duty cycles</t>
  </si>
  <si>
    <t xml:space="preserve">IEA Global EV Outlook - heavy-duty vehicles chapter (International Energy Agency); ICCT Total Cost of Ownership analyses (International Council on Clean Transportation)</t>
  </si>
  <si>
    <t xml:space="preserve">https://www.iea.org/reports/world-energy-outlook-2024
https://theicct.org/publications/</t>
  </si>
  <si>
    <t xml:space="preserve">HDT-R1</t>
  </si>
  <si>
    <t xml:space="preserve">Zero-emission heavy vehicle sales mandate or CO2 standard</t>
  </si>
  <si>
    <t xml:space="preserve">Binding CO2 emission standard or zero-emission sales mandate for new heavy trucks, with target year and stringency</t>
  </si>
  <si>
    <t xml:space="preserve">% reduction or % ZEV by year</t>
  </si>
  <si>
    <t xml:space="preserve">Binding standard/mandate in force with penalties, requiring material ZEV share within the assessment horizon</t>
  </si>
  <si>
    <t xml:space="preserve">Standard announced but not yet binding, or binding with limited near-term stringency</t>
  </si>
  <si>
    <t xml:space="preserve">No binding CO2 standard or ZEV mandate for heavy trucks</t>
  </si>
  <si>
    <t xml:space="preserve">EU CO2 emission standards for heavy-duty vehicles (Regulation 2024/1610) (Official Journal of the European Union); US EPA Heavy-Duty Phase 3 GHG standards (US Environmental Protection Agency); California Advanced Clean Fleets / Advanced Clean Trucks regulation (California Air Resources Board); China NEV mandate - commercial vehicles (Ministry of Industry and Information Technology (China))</t>
  </si>
  <si>
    <t xml:space="preserve">https://eur-lex.europa.eu/eli/reg/2024/1610/oj
https://www.epa.gov/regulations-emissions-vehicles-and-engines/final-rule-greenhouse-gas-emissions-standards-heavy
https://ww2.arb.ca.gov/our-work/programs/advanced-clean-fleets
https://www.miit.gov.cn/</t>
  </si>
  <si>
    <t xml:space="preserve">HDT-D1</t>
  </si>
  <si>
    <t xml:space="preserve">Charging/refuelling infrastructure density on freight corridors</t>
  </si>
  <si>
    <t xml:space="preserve">Number of public heavy-duty charging/hydrogen refuelling points per 100km on the region's primary freight corridors</t>
  </si>
  <si>
    <t xml:space="preserve">Points per 100km</t>
  </si>
  <si>
    <t xml:space="preserve">Infrastructure density sufficient for unconstrained long-haul operation on primary corridors</t>
  </si>
  <si>
    <t xml:space="preserve">Infrastructure present but limited to depot/regional use, gaps on long-haul corridors</t>
  </si>
  <si>
    <t xml:space="preserve">Minimal public infrastructure; operation restricted to depot-based captive fleets</t>
  </si>
  <si>
    <t xml:space="preserve">EU Alternative Fuels Infrastructure Regulation (2023/1804) compliance tracking (European Commission); US National Electric Vehicle Infrastructure / DOE Alternative Fuels Data Center (US Department of Energy); China charging infrastructure statistics (China Electric Vehicle Charging Infrastructure Promotion Alliance)</t>
  </si>
  <si>
    <t xml:space="preserve">https://eur-lex.europa.eu/eli/reg/2023/1804/2026-01-08/eng
https://afdc.energy.gov/
http://www.evcipa.org.cn/</t>
  </si>
  <si>
    <t xml:space="preserve">Oil &amp; Gas Upstream</t>
  </si>
  <si>
    <t xml:space="preserve">OGU-T1</t>
  </si>
  <si>
    <t xml:space="preserve">Methane abatement technology deployment</t>
  </si>
  <si>
    <t xml:space="preserve">Share of regional upstream production covered by leak detection and repair (LDAR) programmes and flaring reduction technology</t>
  </si>
  <si>
    <t xml:space="preserve">% of production covered</t>
  </si>
  <si>
    <t xml:space="preserve">LDAR and flaring reduction technology deployed across a majority of regional production</t>
  </si>
  <si>
    <t xml:space="preserve">Deployed at major operators but not sector-wide</t>
  </si>
  <si>
    <t xml:space="preserve">Minimal deployment; routine flaring and unmonitored leakage remain common</t>
  </si>
  <si>
    <t xml:space="preserve">IEA Methane Tracker (International Energy Agency); Oil and Gas Methane Partnership (OGMP 2.0) reporting (United Nations Environment Programme)</t>
  </si>
  <si>
    <t xml:space="preserve">https://www.iea.org/reports/global-methane-tracker-2025
https://www.ogmpartnership.com/</t>
  </si>
  <si>
    <t xml:space="preserve">OGU-R1</t>
  </si>
  <si>
    <t xml:space="preserve">Methane regulation and fee structure</t>
  </si>
  <si>
    <t xml:space="preserve">Existence of a binding methane emission limit or fee applicable to upstream operations</t>
  </si>
  <si>
    <t xml:space="preserve">Binary; USD/tonne methane fee where applicable</t>
  </si>
  <si>
    <t xml:space="preserve">Binding methane limit and/or fee in force with enforcement mechanism</t>
  </si>
  <si>
    <t xml:space="preserve">Regulation announced or in phase-in, not yet fully enforced</t>
  </si>
  <si>
    <t xml:space="preserve">No binding methane regulation identified</t>
  </si>
  <si>
    <t xml:space="preserve">EU Methane Regulation (2024/1787) (Official Journal of the European Union); US EPA Methane Emissions Reduction Program / Waste Emissions Charge (IRA) (US Environmental Protection Agency); China methane control action plan (Ministry of Ecology and Environment (China))</t>
  </si>
  <si>
    <t xml:space="preserve">https://eur-lex.europa.eu/eli/reg/2024/1787/oj/eng
https://www.federalregister.gov/documents/2025/05/19/2025-08688/congressional-review-act-revocation-of-waste-emissions-charge-for-petroleum-and-natural-gas-systems
https://www.mee.gov.cn/</t>
  </si>
  <si>
    <t xml:space="preserve">OGU-D1</t>
  </si>
  <si>
    <t xml:space="preserve">Market demand trajectory / structural decline exposure</t>
  </si>
  <si>
    <t xml:space="preserve">Projected regional oil and gas demand trajectory to 2035 under stated policy vs. announced pledges scenarios (IEA)</t>
  </si>
  <si>
    <t xml:space="preserve">% change in demand 2024-2035</t>
  </si>
  <si>
    <t xml:space="preserve">Demand trajectory stable or growing under stated policies (lower stranding risk near-term, i.e. more 'feasible' to continue operating economically)</t>
  </si>
  <si>
    <t xml:space="preserve">Demand trajectory flat to moderate decline</t>
  </si>
  <si>
    <t xml:space="preserve">Demand trajectory in structural decline under regional policy settings</t>
  </si>
  <si>
    <t xml:space="preserve">IEA World Energy Outlook - regional demand scenarios (International Energy Agency)</t>
  </si>
  <si>
    <t xml:space="preserve">Source Registry — 86 distinct sources across all 35 criteria</t>
  </si>
  <si>
    <t xml:space="preserve">Verified 2026-08-14. See source_registry.json for the complete machine-readable version.</t>
  </si>
  <si>
    <t xml:space="preserve">Source Name</t>
  </si>
  <si>
    <t xml:space="preserve">Publisher</t>
  </si>
  <si>
    <t xml:space="preserve">Used By (Criteria Codes)</t>
  </si>
  <si>
    <t xml:space="preserve">Access Pattern</t>
  </si>
  <si>
    <t xml:space="preserve">Refresh Cadence</t>
  </si>
  <si>
    <t xml:space="preserve">Locator / What To Check</t>
  </si>
  <si>
    <t xml:space="preserve">Link</t>
  </si>
  <si>
    <t xml:space="preserve">Company disclosures</t>
  </si>
  <si>
    <t xml:space="preserve">Airlines and SAF producers</t>
  </si>
  <si>
    <t xml:space="preserve">Company Disclosure</t>
  </si>
  <si>
    <t xml:space="preserve">per company reporting cycle (typically annual, some quarterly)</t>
  </si>
  <si>
    <t xml:space="preserve">No single URL — retrieve from the specific company's investor relations page (annual report, capital markets day materials, or sustainability report). Identify relevant companies via sector leaders named in Mission Possible Partnership / BloombergNEF sector trackers, then search each company's IR site directly. This is the source type flagged in the Automation Pipeline Design Document (Section 5.6) as requiring discovery-and-triage rather than single-URL retrieval.</t>
  </si>
  <si>
    <t xml:space="preserve">See locator note</t>
  </si>
  <si>
    <t xml:space="preserve">BloombergNEF Energy Storage Outlook</t>
  </si>
  <si>
    <t xml:space="preserve">BloombergNEF</t>
  </si>
  <si>
    <t xml:space="preserve">Periodic PDF Report</t>
  </si>
  <si>
    <t xml:space="preserve">varies by report series, generally annual</t>
  </si>
  <si>
    <t xml:space="preserve">Subscription service; specific report titles vary by year — verify current title via BNEF's published research index at each review cycle</t>
  </si>
  <si>
    <t xml:space="preserve">https://about.bnef.com/</t>
  </si>
  <si>
    <t xml:space="preserve">BloombergNEF Corporate Energy Market Outlook</t>
  </si>
  <si>
    <t xml:space="preserve">BloombergNEF Hydrogen Levelized Cost Report</t>
  </si>
  <si>
    <t xml:space="preserve">BloombergNEF Green Steel Tracker / Premium report</t>
  </si>
  <si>
    <t xml:space="preserve">California Advanced Clean Fleets / Advanced Clean Trucks regulation</t>
  </si>
  <si>
    <t xml:space="preserve">California Air Resources Board</t>
  </si>
  <si>
    <t xml:space="preserve">Government Publication</t>
  </si>
  <si>
    <t xml:space="preserve">monitor closely given ongoing litigation/waiver status</t>
  </si>
  <si>
    <t xml:space="preserve">ZEV sales percentage requirements and fleet purchase mandates by year</t>
  </si>
  <si>
    <t xml:space="preserve">https://ww2.arb.ca.gov/our-work/programs/advanced-clean-fleets</t>
  </si>
  <si>
    <t xml:space="preserve">China charging infrastructure statistics</t>
  </si>
  <si>
    <t xml:space="preserve">China Electric Vehicle Charging Infrastructure Promotion Alliance</t>
  </si>
  <si>
    <t xml:space="preserve">Industry Tracker</t>
  </si>
  <si>
    <t xml:space="preserve">monthly, publisher updates</t>
  </si>
  <si>
    <t xml:space="preserve">Monthly public charging infrastructure statistics</t>
  </si>
  <si>
    <t xml:space="preserve">http://www.evcipa.org.cn/</t>
  </si>
  <si>
    <t xml:space="preserve">Clarksons Research World Fleet Register</t>
  </si>
  <si>
    <t xml:space="preserve">Clarksons Research</t>
  </si>
  <si>
    <t xml:space="preserve">continuous (subscription required for full access)</t>
  </si>
  <si>
    <t xml:space="preserve">Subscription database; new-build order book filterable by fuel type and propulsion</t>
  </si>
  <si>
    <t xml:space="preserve">https://www.clarksons.net/wfr/</t>
  </si>
  <si>
    <t xml:space="preserve">RE100 Annual Report</t>
  </si>
  <si>
    <t xml:space="preserve">Climate Group / CDP</t>
  </si>
  <si>
    <t xml:space="preserve">annual</t>
  </si>
  <si>
    <t xml:space="preserve">Annual report on corporate renewable procurement volumes by RE100 member companies</t>
  </si>
  <si>
    <t xml:space="preserve">https://www.there100.org/re100-progress-and-insights-annual-report</t>
  </si>
  <si>
    <t xml:space="preserve">DNV Alternative Fuels Insight platform</t>
  </si>
  <si>
    <t xml:space="preserve">DNV</t>
  </si>
  <si>
    <t xml:space="preserve">continuously updated by publisher</t>
  </si>
  <si>
    <t xml:space="preserve">Free public dashboard tracking alternative-fuel vessel orders and bunkering infrastructure by fuel type</t>
  </si>
  <si>
    <t xml:space="preserve">https://afi.dnv.com/</t>
  </si>
  <si>
    <t xml:space="preserve">Mission Possible: Reaching Net-Zero Carbon Emissions from Harder-to-Abate Sectors</t>
  </si>
  <si>
    <t xml:space="preserve">Energy Transitions Commission (ETC)</t>
  </si>
  <si>
    <t xml:space="preserve">AVI-T1, CEM-T1, CHM-T1, SHP_T1, STL-T1</t>
  </si>
  <si>
    <t xml:space="preserve">irregular — ETC publishes updates and sector-specific follow-ons rather than a fixed annual cycle; check publications page each review</t>
  </si>
  <si>
    <t xml:space="preserve">Sector-specific technical abatement pathways for cement, steel, plastics, aviation, shipping, trucking; distinguishes proven-technology sectors from those needing further technology investment</t>
  </si>
  <si>
    <t xml:space="preserve">https://www.energy-transitions.org/publications/mission-possible/</t>
  </si>
  <si>
    <t xml:space="preserve">EU Innovation Fund award decisions</t>
  </si>
  <si>
    <t xml:space="preserve">European Climate, Infrastructure and Environment Executive Agency (CINEA)</t>
  </si>
  <si>
    <t xml:space="preserve">per call round (roughly annual)</t>
  </si>
  <si>
    <t xml:space="preserve">Award decisions by call round, searchable by sector and project</t>
  </si>
  <si>
    <t xml:space="preserve">https://cinea.ec.europa.eu/programmes/innovation-fund_en</t>
  </si>
  <si>
    <t xml:space="preserve">EU REPowerEU / Fit for 55 targets</t>
  </si>
  <si>
    <t xml:space="preserve">European Commission</t>
  </si>
  <si>
    <t xml:space="preserve">Legal/Regulatory Text</t>
  </si>
  <si>
    <t xml:space="preserve">quarterly</t>
  </si>
  <si>
    <t xml:space="preserve">Article 3 for the binding 2030 EU-wide renewable target (42.5% headline, with 45% indicative); REPowerEU permitting acceleration provisions</t>
  </si>
  <si>
    <t xml:space="preserve">https://eur-lex.europa.eu/eli/dir/2018/2001/oj</t>
  </si>
  <si>
    <t xml:space="preserve">EU CBAM scope review - chemicals inclusion status</t>
  </si>
  <si>
    <t xml:space="preserve">check for amending acts quarterly; consolidated text updates automatically at EUR-Lex</t>
  </si>
  <si>
    <t xml:space="preserve">Full regulation text; Annex I for sectoral scope (steel, cement, aluminium, fertilisers, electricity, hydrogen); definitive regime phase-in from 1 January 2026</t>
  </si>
  <si>
    <t xml:space="preserve">https://eur-lex.europa.eu/eli/reg/2023/956/oj/eng</t>
  </si>
  <si>
    <t xml:space="preserve">EU Alternative Fuels Infrastructure Regulation (2023/1804) compliance tracking</t>
  </si>
  <si>
    <t xml:space="preserve">Article 3 for TEN-T road network charging point power/distance requirements; Article 6 for hydrogen refuelling</t>
  </si>
  <si>
    <t xml:space="preserve">https://eur-lex.europa.eu/eli/reg/2023/1804/2026-01-08/eng</t>
  </si>
  <si>
    <t xml:space="preserve">EU CBAM Regulation (2023/956) and implementing acts</t>
  </si>
  <si>
    <t xml:space="preserve">European Commission / Official Journal of the EU</t>
  </si>
  <si>
    <t xml:space="preserve">EU CBAM Regulation - cement sector scope</t>
  </si>
  <si>
    <t xml:space="preserve">EU ETS free allocation benchmarks - steel</t>
  </si>
  <si>
    <t xml:space="preserve">European Commission DG CLIMA</t>
  </si>
  <si>
    <t xml:space="preserve">annual (benchmark periods run in multi-year blocks; check for new implementing regulation at each period start)</t>
  </si>
  <si>
    <t xml:space="preserve">Annex tables give benchmark values (allowances per tonne of product) by sector including steel hot metal, cement clinker, ammonia</t>
  </si>
  <si>
    <t xml:space="preserve">https://eur-lex.europa.eu/eli/reg_impl/2021/447/2026-03-18/eng</t>
  </si>
  <si>
    <t xml:space="preserve">EU ETS free allocation benchmarks - cement clinker</t>
  </si>
  <si>
    <t xml:space="preserve">EU ETS free allocation benchmarks - chemicals subsectors</t>
  </si>
  <si>
    <t xml:space="preserve">EU Green Public Procurement criteria - construction</t>
  </si>
  <si>
    <t xml:space="preserve">European Commission DG ENV</t>
  </si>
  <si>
    <t xml:space="preserve">annual, criteria updated periodically per sector</t>
  </si>
  <si>
    <t xml:space="preserve">Sector-specific GPP criteria documents, incl. construction/buildings and infrastructure</t>
  </si>
  <si>
    <t xml:space="preserve">https://green-business.ec.europa.eu/green-public-procurement_en</t>
  </si>
  <si>
    <t xml:space="preserve">EU Green Public Procurement - construction criteria</t>
  </si>
  <si>
    <t xml:space="preserve">EU ETS carbon price</t>
  </si>
  <si>
    <t xml:space="preserve">European Energy Exchange (EEX) / European Commission</t>
  </si>
  <si>
    <t xml:space="preserve">Structured API/Dashboard</t>
  </si>
  <si>
    <t xml:space="preserve">continuous / check at each review cycle</t>
  </si>
  <si>
    <t xml:space="preserve">Daily EUA auction and spot price</t>
  </si>
  <si>
    <t xml:space="preserve">https://www.eex.com/en/market-data/environmental-markets/spot-market</t>
  </si>
  <si>
    <t xml:space="preserve">Global Cement and Concrete Association (GCCA) sustainability data</t>
  </si>
  <si>
    <t xml:space="preserve">GCCA</t>
  </si>
  <si>
    <t xml:space="preserve">Getting the Numbers Right (GNR) database; clinker ratio and thermal/electrical intensity by region</t>
  </si>
  <si>
    <t xml:space="preserve">https://gccassociation.org/sustainability-innovation/gnr-gcca-in-numbers/</t>
  </si>
  <si>
    <t xml:space="preserve">Global CCS Institute CO2RE database</t>
  </si>
  <si>
    <t xml:space="preserve">Global CCS Institute</t>
  </si>
  <si>
    <t xml:space="preserve">continuously updated by publisher; check quarterly</t>
  </si>
  <si>
    <t xml:space="preserve">Filterable database of CCS/CCUS facilities by status (operational/construction/planned), sector, and region</t>
  </si>
  <si>
    <t xml:space="preserve">https://co2re.co/FacilityData</t>
  </si>
  <si>
    <t xml:space="preserve">Getting to Zero Coalition Green Corridors tracker</t>
  </si>
  <si>
    <t xml:space="preserve">Global Maritime Forum</t>
  </si>
  <si>
    <t xml:space="preserve">check semi-annually</t>
  </si>
  <si>
    <t xml:space="preserve">List of announced and active green shipping corridor initiatives with participants and status</t>
  </si>
  <si>
    <t xml:space="preserve">Company investor disclosures</t>
  </si>
  <si>
    <t xml:space="preserve">Individual cement producers (e.g. Heidelberg Materials, Holcim)</t>
  </si>
  <si>
    <t xml:space="preserve">Individual miners (e.g. Freeport-McMoRan, Albemarle)</t>
  </si>
  <si>
    <t xml:space="preserve">Individual steelmakers (annual reports, capital markets days)</t>
  </si>
  <si>
    <t xml:space="preserve">IATA Sustainable Aviation Fuel Fact Sheet / SAF Tracker</t>
  </si>
  <si>
    <t xml:space="preserve">International Air Transport Association</t>
  </si>
  <si>
    <t xml:space="preserve">annual, with interim updates</t>
  </si>
  <si>
    <t xml:space="preserve">Annual SAF production volume vs. global jet fuel demand; price differential data</t>
  </si>
  <si>
    <t xml:space="preserve">https://www.iata.org/en/iata-repository/publications/economic-reports/sustainable-aviation-fuel-fact-sheet/</t>
  </si>
  <si>
    <t xml:space="preserve">IATA SAF price tracking</t>
  </si>
  <si>
    <t xml:space="preserve">periodic, check quarterly</t>
  </si>
  <si>
    <t xml:space="preserve">IATA SAF programme page; price tracking data typically published via IATA Economics reports and SAF fact sheets</t>
  </si>
  <si>
    <t xml:space="preserve">ICAO CORSIA scheme status</t>
  </si>
  <si>
    <t xml:space="preserve">International Civil Aviation Organization</t>
  </si>
  <si>
    <t xml:space="preserve">annual, check ahead of each phase transition</t>
  </si>
  <si>
    <t xml:space="preserve">State participation list (voluntary pilot phase 2021-2026, first obligatory phase from 2027); China participation status</t>
  </si>
  <si>
    <t xml:space="preserve">https://www.icao.int/environmental-protection/CORSIA/Pages/state-pairs.aspx</t>
  </si>
  <si>
    <t xml:space="preserve">ICCT Total Cost of Ownership analyses</t>
  </si>
  <si>
    <t xml:space="preserve">International Council on Clean Transportation</t>
  </si>
  <si>
    <t xml:space="preserve">annual, check for new regional TCO updates</t>
  </si>
  <si>
    <t xml:space="preserve">Search publications by 'total cost of ownership' + region; separate reports for EU, US, China</t>
  </si>
  <si>
    <t xml:space="preserve">https://theicct.org/publications/</t>
  </si>
  <si>
    <t xml:space="preserve">IEA World Energy Investment</t>
  </si>
  <si>
    <t xml:space="preserve">International Energy Agency</t>
  </si>
  <si>
    <t xml:space="preserve">annual, typically published June</t>
  </si>
  <si>
    <t xml:space="preserve">Annual global and regional energy investment tracking by technology and sector</t>
  </si>
  <si>
    <t xml:space="preserve">https://www.iea.org/reports/world-energy-investment-2025</t>
  </si>
  <si>
    <t xml:space="preserve">IEA Energy Storage</t>
  </si>
  <si>
    <t xml:space="preserve">IEA Energy System tracking page for grid-scale storage; annual data updates within IEA Electricity report</t>
  </si>
  <si>
    <t xml:space="preserve">https://www.iea.org/energy-system/electricity/grid-scale-storage</t>
  </si>
  <si>
    <t xml:space="preserve">IEA Renewables market report</t>
  </si>
  <si>
    <t xml:space="preserve">annual, typically published October</t>
  </si>
  <si>
    <t xml:space="preserve">/executive-summary sub-page for VRE integration phase assessment by country</t>
  </si>
  <si>
    <t xml:space="preserve">https://www.iea.org/reports/renewables-2024</t>
  </si>
  <si>
    <t xml:space="preserve">IEA Global Hydrogen Review</t>
  </si>
  <si>
    <t xml:space="preserve">CHM-T1, STL-T1</t>
  </si>
  <si>
    <t xml:space="preserve">Sub-pages: /hydrogen-production, /hydrogen-demand, /policies, /trade-and-infrastructure, /investment-finance-and-innovation</t>
  </si>
  <si>
    <t xml:space="preserve">https://www.iea.org/reports/global-hydrogen-review-2024</t>
  </si>
  <si>
    <t xml:space="preserve">IEA CCUS Projects Database</t>
  </si>
  <si>
    <t xml:space="preserve">IEA Cement Technology Roadmap</t>
  </si>
  <si>
    <t xml:space="preserve">IEA Energy System tracking page for cement sector; technology roadmap content integrated into IEA industry tracking</t>
  </si>
  <si>
    <t xml:space="preserve">https://www.iea.org/energy-system/industry/cement</t>
  </si>
  <si>
    <t xml:space="preserve">IEA The Future of Petrochemicals</t>
  </si>
  <si>
    <t xml:space="preserve">CHM-T1, CHM-T2</t>
  </si>
  <si>
    <t xml:space="preserve">Regional demand projections under STEPS, APS, and NZE scenarios, by fuel and sector</t>
  </si>
  <si>
    <t xml:space="preserve">IEA Critical Minerals Outlook</t>
  </si>
  <si>
    <t xml:space="preserve">Sub-pages: /market-review, /outlook-for-key-minerals, /executive-summary</t>
  </si>
  <si>
    <t xml:space="preserve">https://www.iea.org/reports/global-critical-minerals-outlook-2024</t>
  </si>
  <si>
    <t xml:space="preserve">IEA Critical Minerals Outlook - demand-supply gap tables</t>
  </si>
  <si>
    <t xml:space="preserve">IEA Aviation tracking report</t>
  </si>
  <si>
    <t xml:space="preserve">IEA Global EV Outlook - heavy-duty vehicles chapter</t>
  </si>
  <si>
    <t xml:space="preserve">IEA Methane Tracker</t>
  </si>
  <si>
    <t xml:space="preserve">annual, typically published March</t>
  </si>
  <si>
    <t xml:space="preserve">/key-findings sub-page; includes IEA Methane Abatement Model (2024) for country/segment abatement cost curves</t>
  </si>
  <si>
    <t xml:space="preserve">https://www.iea.org/reports/global-methane-tracker-2025</t>
  </si>
  <si>
    <t xml:space="preserve">IEA World Energy Outlook - regional demand scenarios</t>
  </si>
  <si>
    <t xml:space="preserve">IMO GHG Strategy implementation tracker</t>
  </si>
  <si>
    <t xml:space="preserve">International Maritime Organization</t>
  </si>
  <si>
    <t xml:space="preserve">check ahead of each MEPC session (roughly biannual) for mid-term measures progress</t>
  </si>
  <si>
    <t xml:space="preserve">Adopted resolution MEPC.377(80); checkpoints for 2030 (20-30% reduction) and 2040 (70-80% reduction) vs. 2008; net-zero 'by or around' 2050</t>
  </si>
  <si>
    <t xml:space="preserve">IMO Revised GHG Strategy and mid-term measures</t>
  </si>
  <si>
    <t xml:space="preserve">IRENA Renewable Power Generation Costs</t>
  </si>
  <si>
    <t xml:space="preserve">International Renewable Energy Agency</t>
  </si>
  <si>
    <t xml:space="preserve">annual, typically published September</t>
  </si>
  <si>
    <t xml:space="preserve">Executive summary PDF gives headline LCOE figures by technology and region</t>
  </si>
  <si>
    <t xml:space="preserve">https://www.irena.org/Publications/2024/Sep/Renewable-Power-Generation-Costs-in-2023</t>
  </si>
  <si>
    <t xml:space="preserve">Lazard Levelized Cost of Energy Analysis</t>
  </si>
  <si>
    <t xml:space="preserve">Lazard</t>
  </si>
  <si>
    <t xml:space="preserve">Unsubsidized LCOE ranges by technology, US-focused</t>
  </si>
  <si>
    <t xml:space="preserve">https://www.lazard.com/research-insights/levelized-cost-of-energyplus/</t>
  </si>
  <si>
    <t xml:space="preserve">China national ETS sector coverage roadmap</t>
  </si>
  <si>
    <t xml:space="preserve">Ministry of Ecology and Environment (China)</t>
  </si>
  <si>
    <t xml:space="preserve">quarterly given active expansion phase</t>
  </si>
  <si>
    <t xml:space="preserve">November 2025 MEE allocation plan for steel/cement/aluminium sectors confirms 2024-2025 free allocation basis and 2027 target for absolute cap transition</t>
  </si>
  <si>
    <t xml:space="preserve">https://www.mee.gov.cn/</t>
  </si>
  <si>
    <t xml:space="preserve">China methane control action plan</t>
  </si>
  <si>
    <r>
      <rPr>
        <sz val="10"/>
        <color rgb="FF334155"/>
        <rFont val="Arial"/>
        <family val="0"/>
        <charset val="1"/>
      </rPr>
      <t xml:space="preserve">Ministry of Ecology and Environment official site; methane action plan published in Chinese, search for '</t>
    </r>
    <r>
      <rPr>
        <sz val="10"/>
        <color rgb="FF334155"/>
        <rFont val="Noto Sans CJK SC"/>
        <family val="2"/>
      </rPr>
      <t xml:space="preserve">甲烷排放控制行动方案</t>
    </r>
    <r>
      <rPr>
        <sz val="10"/>
        <color rgb="FF334155"/>
        <rFont val="Arial"/>
        <family val="0"/>
        <charset val="1"/>
      </rPr>
      <t xml:space="preserve">'</t>
    </r>
  </si>
  <si>
    <t xml:space="preserve">China NEV mandate - commercial vehicles</t>
  </si>
  <si>
    <t xml:space="preserve">Ministry of Industry and Information Technology (China)</t>
  </si>
  <si>
    <t xml:space="preserve">NEV credit requirements and commercial vehicle sales share targets</t>
  </si>
  <si>
    <t xml:space="preserve">https://www.miit.gov.cn/</t>
  </si>
  <si>
    <t xml:space="preserve">China Ministry of Natural Resources mining approval process</t>
  </si>
  <si>
    <t xml:space="preserve">Ministry of Natural Resources (China)</t>
  </si>
  <si>
    <t xml:space="preserve">Official ministry site; mining licence and approval procedures published in Chinese only — requires translation for non-Chinese-speaking researchers</t>
  </si>
  <si>
    <t xml:space="preserve">https://www.mnr.gov.cn/</t>
  </si>
  <si>
    <t xml:space="preserve">Mission Possible Partnership Steel sector tracker</t>
  </si>
  <si>
    <t xml:space="preserve">Mission Possible Partnership</t>
  </si>
  <si>
    <t xml:space="preserve">annual, but publication timing is less regular than IEA/IRENA</t>
  </si>
  <si>
    <t xml:space="preserve">Sector-specific transition strategy reports; check publications page for the current version per sector</t>
  </si>
  <si>
    <t xml:space="preserve">https://missionpossiblepartnership.org/publications/</t>
  </si>
  <si>
    <t xml:space="preserve">Mission Possible Partnership Steel Transition Strategy</t>
  </si>
  <si>
    <t xml:space="preserve">Mission Possible Partnership / Energy Transitions Commission</t>
  </si>
  <si>
    <t xml:space="preserve">China industrial decarbonisation funding programmes</t>
  </si>
  <si>
    <t xml:space="preserve">National Development and Reform Commission (China)</t>
  </si>
  <si>
    <t xml:space="preserve">China NEA renewable targets</t>
  </si>
  <si>
    <t xml:space="preserve">National Energy Administration (China)</t>
  </si>
  <si>
    <t xml:space="preserve">Annual and quarterly capacity addition statistics; 14th Five-Year Plan renewable targets (exceeded 1,200 GW wind+solar target in 2024, six years ahead of the original 2030 goal)</t>
  </si>
  <si>
    <t xml:space="preserve">https://www.nea.gov.cn/</t>
  </si>
  <si>
    <t xml:space="preserve">NGFS Climate Scenarios</t>
  </si>
  <si>
    <t xml:space="preserve">Network for Greening the Financial System (127 central banks and supervisors), hosted by IIASA</t>
  </si>
  <si>
    <t xml:space="preserve">CEM-R1, CHM-R1, PWR-R1, STL-R1</t>
  </si>
  <si>
    <t xml:space="preserve">new phase roughly every 12-18 months (Phase 5 released Nov 2024; short-term scenarios added May 2025)</t>
  </si>
  <si>
    <t xml:space="preserve">Downloadable in CSV/XLSX; gives projected carbon prices, policy phase-out dates, and macro-financial impacts under Orderly/Disorderly/Hot House World scenario families — used here to source the carbon price trajectory that the H/M/L threshold in this criterion's rubric is benchmarked against.</t>
  </si>
  <si>
    <t xml:space="preserve">https://www.ngfs.net/ngfs-scenarios-portal/data-resources/</t>
  </si>
  <si>
    <t xml:space="preserve">OECD Steel Market Developments</t>
  </si>
  <si>
    <t xml:space="preserve">OECD Steel Committee</t>
  </si>
  <si>
    <t xml:space="preserve">semi-annual</t>
  </si>
  <si>
    <t xml:space="preserve">Semi-annual OECD Steel Committee market monitoring report</t>
  </si>
  <si>
    <t xml:space="preserve">https://www.oecd.org/en/topics/sub-issues/steel-market-developments.html</t>
  </si>
  <si>
    <t xml:space="preserve">EU Critical Raw Materials Act (Regulation 2024/1252)</t>
  </si>
  <si>
    <t xml:space="preserve">Official Journal of the European Union</t>
  </si>
  <si>
    <t xml:space="preserve">Article 3 for 2030 benchmarks (10% extraction / 40% processing / 25% recycling); Chapter III for Strategic Projects fast-track permitting (Article 12: 27-month target for extraction projects)</t>
  </si>
  <si>
    <t xml:space="preserve">https://eur-lex.europa.eu/eli/reg/2024/1252/2024-05-03/eng</t>
  </si>
  <si>
    <t xml:space="preserve">EU Critical Raw Materials Act - benchmarks</t>
  </si>
  <si>
    <t xml:space="preserve">EU ReFuelEU Aviation Regulation (2023/2405)</t>
  </si>
  <si>
    <t xml:space="preserve">Article 4 and Annex I for SAF blending mandate schedule: 2% (2025) rising to 70% (2050), including sub-mandates for synthetic (e-)fuels</t>
  </si>
  <si>
    <t xml:space="preserve">https://eur-lex.europa.eu/eli/reg/2023/2405/oj</t>
  </si>
  <si>
    <t xml:space="preserve">EU ETS Maritime inclusion (Directive 2023/959)</t>
  </si>
  <si>
    <t xml:space="preserve">Phase-in schedule: 40% of verified emissions (2024), 70% (2025), 100% (2026)</t>
  </si>
  <si>
    <t xml:space="preserve">https://eur-lex.europa.eu/eli/dir/2023/959/oj</t>
  </si>
  <si>
    <t xml:space="preserve">EU FuelEU Maritime Regulation (2023/1805)</t>
  </si>
  <si>
    <t xml:space="preserve">GHG intensity reduction targets by year, escalating from 2025</t>
  </si>
  <si>
    <t xml:space="preserve">https://eur-lex.europa.eu/legal-content/en/LSU/?uri=CELEX%3A32023R1805</t>
  </si>
  <si>
    <t xml:space="preserve">EU CO2 emission standards for heavy-duty vehicles (Regulation 2024/1610)</t>
  </si>
  <si>
    <t xml:space="preserve">CO2 reduction targets for trucks &gt;7.5t: -45% (2030), -65% (2035), -90% (2040) vs. 2019 baseline; urban buses -90% (2030), -100% (2035)</t>
  </si>
  <si>
    <t xml:space="preserve">https://eur-lex.europa.eu/eli/reg/2024/1610/oj</t>
  </si>
  <si>
    <t xml:space="preserve">EU Methane Regulation (2024/1787)</t>
  </si>
  <si>
    <t xml:space="preserve">MRV obligations; import standard for non-EU suppliers applies from 2027 (Article 27)</t>
  </si>
  <si>
    <t xml:space="preserve">https://eur-lex.europa.eu/eli/reg/2024/1787/oj/eng</t>
  </si>
  <si>
    <t xml:space="preserve">S&amp;P Global Market Intelligence - Metals &amp; Mining</t>
  </si>
  <si>
    <t xml:space="preserve">S&amp;P Global</t>
  </si>
  <si>
    <t xml:space="preserve">continuous</t>
  </si>
  <si>
    <t xml:space="preserve">Subscription service; mining equipment and production tracking</t>
  </si>
  <si>
    <t xml:space="preserve">https://www.spglobal.com/marketintelligence/en/sector/metals-mining</t>
  </si>
  <si>
    <t xml:space="preserve">China national ETS price</t>
  </si>
  <si>
    <t xml:space="preserve">Shanghai Environment and Energy Exchange</t>
  </si>
  <si>
    <t xml:space="preserve">Daily CEA closing price; ICAP page gives narrative context on scope and allocation method</t>
  </si>
  <si>
    <t xml:space="preserve">https://www.cneeex.com/</t>
  </si>
  <si>
    <t xml:space="preserve">US DOE Industrial Demonstrations Program awards</t>
  </si>
  <si>
    <t xml:space="preserve">US Department of Energy</t>
  </si>
  <si>
    <t xml:space="preserve">monitor closely for continuity under current administration</t>
  </si>
  <si>
    <t xml:space="preserve">Awarded projects list by sector including cement, steel, chemicals</t>
  </si>
  <si>
    <t xml:space="preserve">https://www.energy.gov/oced/industrial-demonstrations-program</t>
  </si>
  <si>
    <t xml:space="preserve">US National Electric Vehicle Infrastructure / DOE Alternative Fuels Data Center</t>
  </si>
  <si>
    <t xml:space="preserve">continuously updated</t>
  </si>
  <si>
    <t xml:space="preserve">Public charging and alternative fuel infrastructure station locator and counts, filterable by vehicle class</t>
  </si>
  <si>
    <t xml:space="preserve">https://afdc.energy.gov/</t>
  </si>
  <si>
    <t xml:space="preserve">US SAF Grand Challenge / IRA 40B tax credit</t>
  </si>
  <si>
    <t xml:space="preserve">US Department of Energy / US Treasury</t>
  </si>
  <si>
    <t xml:space="preserve">annual, monitor for continuity under current administration priorities</t>
  </si>
  <si>
    <t xml:space="preserve">Low-embodied-carbon material procurement standards for federal construction contracts</t>
  </si>
  <si>
    <t xml:space="preserve">https://www.sustainability.gov/buyclean/</t>
  </si>
  <si>
    <t xml:space="preserve">US Fixing America's Surface Transportation Act / permitting reform tracker</t>
  </si>
  <si>
    <t xml:space="preserve">US Department of Interior / Congressional Research Service</t>
  </si>
  <si>
    <t xml:space="preserve">monitor closely given active legislative attention</t>
  </si>
  <si>
    <t xml:space="preserve">Track federal permitting reform legislation via Congress.gov; also monitor Federal Permitting Improvement Steering Council dashboard</t>
  </si>
  <si>
    <t xml:space="preserve">https://www.congress.gov/bill/118th-congress/house-bill/1</t>
  </si>
  <si>
    <t xml:space="preserve">US EPA Heavy-Duty Phase 3 GHG standards</t>
  </si>
  <si>
    <t xml:space="preserve">US Environmental Protection Agency</t>
  </si>
  <si>
    <t xml:space="preserve">monitor closely given litigation risk</t>
  </si>
  <si>
    <t xml:space="preserve">Final rule and implementation status; subject to ongoing litigation and potential reconsideration under the current administration</t>
  </si>
  <si>
    <t xml:space="preserve">https://www.epa.gov/regulations-emissions-vehicles-and-engines/final-rule-greenhouse-gas-emissions-standards-heavy</t>
  </si>
  <si>
    <t xml:space="preserve">US EPA Methane Emissions Reduction Program / Waste Emissions Charge (IRA)</t>
  </si>
  <si>
    <t xml:space="preserve">monitor closely</t>
  </si>
  <si>
    <t xml:space="preserve">Congressional Review Act joint resolution (H.J.Res.35, P.L. 119-2, signed 14 March 2025) nullified the 2024 WEC implementing rule; EPA barred from collecting the charge until 2034; underlying statutory obligation remains but is currently unenforceable</t>
  </si>
  <si>
    <t xml:space="preserve">https://www.federalregister.gov/documents/2025/05/19/2025-08688/congressional-review-act-revocation-of-waste-emissions-charge-for-petroleum-and-natural-gas-systems</t>
  </si>
  <si>
    <t xml:space="preserve">US Federal Buy Clean Initiative</t>
  </si>
  <si>
    <t xml:space="preserve">US General Services Administration / EPA</t>
  </si>
  <si>
    <t xml:space="preserve">US Inflation Reduction Act Section 30D critical minerals requirements</t>
  </si>
  <si>
    <t xml:space="preserve">US Internal Revenue Service / US Treasury</t>
  </si>
  <si>
    <t xml:space="preserve">monitor closely — credit status changed materially in 2025</t>
  </si>
  <si>
    <t xml:space="preserve">Critical minerals sourcing thresholds under Section 30D(e); FEOC exclusion rules</t>
  </si>
  <si>
    <t xml:space="preserve">https://www.energy.gov/mesc/30d-new-clean-vehicle-credit</t>
  </si>
  <si>
    <t xml:space="preserve">Oil and Gas Methane Partnership (OGMP 2.0) reporting</t>
  </si>
  <si>
    <t xml:space="preserve">United Nations Environment Programme</t>
  </si>
  <si>
    <t xml:space="preserve">Company-level methane reporting status and gold standard reporting members</t>
  </si>
  <si>
    <t xml:space="preserve">https://www.ogmpartnership.com/</t>
  </si>
  <si>
    <t xml:space="preserve">USGS Mineral Commodity Summaries</t>
  </si>
  <si>
    <t xml:space="preserve">United States Geological Survey</t>
  </si>
  <si>
    <t xml:space="preserve">annual, published January/February; data-only releases also available via data.usgs.gov by commodity</t>
  </si>
  <si>
    <t xml:space="preserve">Two-page synopses per mineral commodity; world production, reserves, and US import reliance tables</t>
  </si>
  <si>
    <t xml:space="preserve">https://www.usgs.gov/publications/mineral-commodity-summaries-2025</t>
  </si>
  <si>
    <t xml:space="preserve">National/state building codes register</t>
  </si>
  <si>
    <t xml:space="preserve">Various national standards bodies</t>
  </si>
  <si>
    <t xml:space="preserve">annual, varies significantly by jurisdiction</t>
  </si>
  <si>
    <t xml:space="preserve">No single global register — International Code Council (US) as a starting reference point; verify per-jurisdiction embodied carbon requirements via national standards bodies named in the criteria</t>
  </si>
  <si>
    <t xml:space="preserve">https://www.iccsafe.org/</t>
  </si>
  <si>
    <t xml:space="preserve">World Bank Carbon Pricing Dashboard</t>
  </si>
  <si>
    <t xml:space="preserve">World Bank Group</t>
  </si>
  <si>
    <t xml:space="preserve">continuous; annual report each spring</t>
  </si>
  <si>
    <t xml:space="preserve">Interactive dashboard; filter by jurisdiction and instrument type (ETS / carbon tax); underlying annual report is 'State and Trends of Carbon Pricing'</t>
  </si>
  <si>
    <t xml:space="preserve">https://carbonpricingdashboard.worldbank.org/</t>
  </si>
  <si>
    <t xml:space="preserve">First Movers Coalition Cement &amp; Concrete commitments</t>
  </si>
  <si>
    <t xml:space="preserve">World Economic Forum / US State Department</t>
  </si>
  <si>
    <t xml:space="preserve">annual, updated at major COP/WEF events</t>
  </si>
  <si>
    <t xml:space="preserve">Member company demand commitments by sector</t>
  </si>
  <si>
    <t xml:space="preserve">https://www.weforum.org/communities/first-movers-coalition/</t>
  </si>
  <si>
    <t xml:space="preserve">World Steel Association Steel Statistical Yearbook</t>
  </si>
  <si>
    <t xml:space="preserve">World Steel Association (worldsteel)</t>
  </si>
  <si>
    <t xml:space="preserve">Annual production, EAF vs. BF-BOF share, and scrap consumption data by country</t>
  </si>
  <si>
    <t xml:space="preserve">https://worldsteel.org/data/world-steel-in-figures/</t>
  </si>
  <si>
    <t xml:space="preserve">Company/consortium technical disclosures</t>
  </si>
  <si>
    <t xml:space="preserve">e.g. BASF/SABIC/Linde electric cracker pilot</t>
  </si>
  <si>
    <t xml:space="preserve">e.g. Maersk, Yara, OCI</t>
  </si>
  <si>
    <t xml:space="preserve">e.g. Maersk, cargo owner coalitions (coZEV)</t>
  </si>
  <si>
    <t xml:space="preserve">CLTI Dimension 1 — Assessment Matrix (105 rows = 35 criteria × 3 regions)</t>
  </si>
  <si>
    <t xml:space="preserve">Blue text = editable fields. Rating/Confidence use dropdown validation.</t>
  </si>
  <si>
    <t xml:space="preserve">Region</t>
  </si>
  <si>
    <t xml:space="preserve">Rating</t>
  </si>
  <si>
    <t xml:space="preserve">Confidence</t>
  </si>
  <si>
    <t xml:space="preserve">Evidence / Basis for Rating</t>
  </si>
  <si>
    <t xml:space="preserve">Source(s)</t>
  </si>
  <si>
    <t xml:space="preserve">Last Verified</t>
  </si>
  <si>
    <t xml:space="preserve">European Union</t>
  </si>
  <si>
    <t xml:space="preserve">H</t>
  </si>
  <si>
    <t xml:space="preserve">high</t>
  </si>
  <si>
    <t xml:space="preserve">EU utility-scale solar and onshore wind LCOE (~EUR 40-60/MWh in strong-resource markets) is at or below new-build CCGT LCOE; renewables have won the large majority of new capacity tenders since 2022</t>
  </si>
  <si>
    <t xml:space="preserve">IEA World Energy Investment 2023; IRENA Renewable Power Generation Costs 2023</t>
  </si>
  <si>
    <t xml:space="preserve">2026-08-14</t>
  </si>
  <si>
    <t xml:space="preserve">United States</t>
  </si>
  <si>
    <t xml:space="preserve">Unsubsidized utility-scale solar and wind LCOE in Lazard's most recent analysis sits below new-build gas CCGT in most regions; IRA production tax credits further widen the gap</t>
  </si>
  <si>
    <t xml:space="preserve">Lazard Levelized Cost of Energy Analysis; IEA World Energy Investment 2023</t>
  </si>
  <si>
    <t xml:space="preserve">China</t>
  </si>
  <si>
    <t xml:space="preserve">medium</t>
  </si>
  <si>
    <t xml:space="preserve">China's solar and wind LCOE benefits from the world's largest manufacturing scale; renewables are cost-competitive with new coal in the large majority of provinces</t>
  </si>
  <si>
    <t xml:space="preserve">M</t>
  </si>
  <si>
    <t xml:space="preserve">Grid-scale battery deployment growing rapidly but curtailment already material in high-renewable-penetration markets (e.g. Germany, Spain, Italy) pending grid reinforcement</t>
  </si>
  <si>
    <t xml:space="preserve">IEA Energy Storage tracking report; ENTSO-E curtailment statistics</t>
  </si>
  <si>
    <t xml:space="preserve">Battery storage additions record-high but concentrated in a few states (California, Texas); interconnection queue backlogs remain a binding constraint nationally</t>
  </si>
  <si>
    <t xml:space="preserve">IEA Energy Storage tracking report; BloombergNEF Energy Storage Outlook</t>
  </si>
  <si>
    <t xml:space="preserve">China leads global battery storage manufacturing and deployment volume, but curtailment of wind/solar in resource-rich western provinces remains a persistent grid integration issue</t>
  </si>
  <si>
    <t xml:space="preserve">IEA Energy Storage tracking report</t>
  </si>
  <si>
    <t xml:space="preserve">EU ETS price has traded consistently in the EUR 60-90/tCO2 range through 2024-2026, exceeding the H threshold</t>
  </si>
  <si>
    <t xml:space="preserve">EEX EUA spot price series; European Commission EU ETS reporting</t>
  </si>
  <si>
    <t xml:space="preserve">No federal carbon price; state-level programmes (California cap-and-trade, RGGI) apply a moderate price only in participating states, well below the EU level</t>
  </si>
  <si>
    <t xml:space="preserve">China national ETS covers power generation with a 2024 composite closing price ranging CNY 69-106/tonne (year-end CNY 97.49/t, approx. USD 13-14/t), rising further to CNY 66.9-97/t through the 2025 sectoral expansion period — consistently below the USD 60/tCO2 H threshold and well below the EU ETS level (EUR 70-90/t).</t>
  </si>
  <si>
    <t xml:space="preserve">Progress Report of China's National Carbon Market (2025), Ministry of Ecology and Environment via Henan provincial exchange; ICAP China National ETS tracker</t>
  </si>
  <si>
    <t xml:space="preserve">Binding 2030 renewables target under the revised Renewable Energy Directive, combined with permitting reform under REPowerEU aimed at reducing approval timelines</t>
  </si>
  <si>
    <t xml:space="preserve">European Commission REPowerEU / Renewable Energy Directive (EU) 2023/2413</t>
  </si>
  <si>
    <t xml:space="preserve">No binding federal renewable target; state-level RPS programmes vary widely; interconnection queue times remain a widely documented bottleneck exceeding 3 years in most regions</t>
  </si>
  <si>
    <t xml:space="preserve">IEA Renewables market report; Lawrence Berkeley National Laboratory interconnection queue studies</t>
  </si>
  <si>
    <t xml:space="preserve">China exceeded its 2030 wind and solar capacity target (1,200 GW) years ahead of schedule under binding five-year-plan targets</t>
  </si>
  <si>
    <t xml:space="preserve">National Energy Administration (China) capacity statistics</t>
  </si>
  <si>
    <t xml:space="preserve">Corporate PPA market well established across Northern and Western Europe with multi-year forward contracting standard for large industrial and tech buyers</t>
  </si>
  <si>
    <t xml:space="preserve">US is the largest corporate PPA market globally by signed volume, driven heavily by data centre and technology sector demand</t>
  </si>
  <si>
    <t xml:space="preserve">low</t>
  </si>
  <si>
    <t xml:space="preserve">Corporate PPA market exists and is growing but remains smaller and less standardised than the US/EU, with continued dominance of state-directed offtake structures</t>
  </si>
  <si>
    <t xml:space="preserve">BloombergNEF Corporate Energy Market Outlook; directional estimate pending primary verification</t>
  </si>
  <si>
    <t xml:space="preserve">Nordic green hydrogen costs (Sweden, aided by cheap hydro/wind power and long-term renewable power contracts) are approaching but not yet at the cited DRI-H2 breakeven range; wider EU average remains further from breakeven</t>
  </si>
  <si>
    <t xml:space="preserve">IEA Global Hydrogen Review; Mission Possible Partnership Steel Transition Strategy</t>
  </si>
  <si>
    <t xml:space="preserve">IRA Section 45V hydrogen production tax credit materially improves US green hydrogen economics in optimal wind/solar locations, but the credit's availability window has been shortened: the One Big Beautiful Bill Act (July 2025) accelerated termination to projects that have not begun construction by 1 January 2028 — five years earlier than the original IRA sunset. Delivered green hydrogen cost to steel plants remains above DRI-H2 breakeven in most US regions absent the credit, and the credit's shortened runway increases execution timeline risk for projects not already under construction.</t>
  </si>
  <si>
    <t xml:space="preserve">US Treasury/IRS Section 45V final regulations (3 Jan 2025); Sidley Austin, Velaw, Baker Botts, Pillsbury legislative summaries of OBBBA Section 45V provisions</t>
  </si>
  <si>
    <t xml:space="preserve">L</t>
  </si>
  <si>
    <t xml:space="preserve">Chinese green hydrogen costs remain above Nordic and optimal-US levels due to less mature electrolyser supply chain economics for green (as opposed to grey/coal-based) hydrogen at scale</t>
  </si>
  <si>
    <t xml:space="preserve">IEA Global Hydrogen Review; directional estimate pending primary verification</t>
  </si>
  <si>
    <t xml:space="preserve">EU scrap collection and recycling rates are relatively mature but crude steel production still runs materially above the scrap-availability threshold for full EAF conversion</t>
  </si>
  <si>
    <t xml:space="preserve">US steel industry already has one of the highest EAF shares globally (~70% of production), reflecting high domestic scrap availability</t>
  </si>
  <si>
    <t xml:space="preserve">World Steel Association Steel Statistical Yearbook; American Iron and Steel Institute</t>
  </si>
  <si>
    <t xml:space="preserve">China's steel fleet is dominated by BF-BOF production with an EAF share well below the global average; scrap availability constrained by the relative youth of the domestic steel stock</t>
  </si>
  <si>
    <t xml:space="preserve">World Steel Association Steel Statistical Yearbook; OECD Steel Market Developments</t>
  </si>
  <si>
    <t xml:space="preserve">EU ETS price in the effective range plus CBAM definitive-regime entry from 2026, phasing out free allocation for steel in parallel, creates the H-level combination of price and border protection</t>
  </si>
  <si>
    <t xml:space="preserve">EU CBAM Regulation 2023/956; European Commission DG CLIMA free allocation benchmarks</t>
  </si>
  <si>
    <t xml:space="preserve">No federal carbon price applies to steel production and no equivalent border adjustment mechanism is in force</t>
  </si>
  <si>
    <t xml:space="preserve">China's national ETS was expanded in 2025 to formally include the steel sector (alongside cement and aluminium smelting), raising national coverage from ~40% to ~60%+ of emissions. However, the post-expansion carbon price (CNY 66.9-97/tonne through late 2024-2025, approx. USD 9-14/tonne) remains far below the level needed to close the green steel cost gap: analysis shows a carbon price of approximately CNY 890/tonne (~USD 124/t) would be needed for DRI-H2 cost parity at current green hydrogen prices — roughly 9x the current price and 1.6x the EU ETS level. First compliance deadline for the newly covered sectors is end-2025, covering 2024 emissions, with free allocation dominating in the initial 2024-2026 period.</t>
  </si>
  <si>
    <t xml:space="preserve">Ministry of Ecology and Environment (China) allocation plan (Nov 2025); ICAP China National ETS tracker; IEEFA ETS reforms analysis; Transition Asia sector brief (Sept 2025) for the 890 yuan/t breakeven calculation</t>
  </si>
  <si>
    <t xml:space="preserve">EU Green Public Procurement criteria exist and several member states have piloted embodied-carbon requirements in public construction, but a binding EU-wide mandate for steel specifically is not yet in force</t>
  </si>
  <si>
    <t xml:space="preserve">European Commission DG ENV Green Public Procurement criteria</t>
  </si>
  <si>
    <t xml:space="preserve">Federal Buy Clean Initiative directs federal procurement toward lower-embodied-carbon materials including steel, but scope is limited to federal contracts rather than an economy-wide mandate</t>
  </si>
  <si>
    <t xml:space="preserve">US GSA / EPA Federal Buy Clean Initiative</t>
  </si>
  <si>
    <t xml:space="preserve">No material low-carbon steel procurement mandate or building-code requirement identified in the domestic Chinese market</t>
  </si>
  <si>
    <t xml:space="preserve">Directional assessment pending primary source review of national/provincial standards</t>
  </si>
  <si>
    <t xml:space="preserve">Multiple disclosed offtake agreements between European green steel producers and automotive OEMs with SBTi scope 3 commitments, at a disclosed premium</t>
  </si>
  <si>
    <t xml:space="preserve">Company investor disclosures; BloombergNEF Green Steel Tracker</t>
  </si>
  <si>
    <t xml:space="preserve">First Movers Coalition and SteelZero-type demand commitments exist among some US buyers but signed offtake volume at commercial scale remains limited relative to the EU</t>
  </si>
  <si>
    <t xml:space="preserve">Mission Possible Partnership Steel sector tracker; First Movers Coalition members list</t>
  </si>
  <si>
    <t xml:space="preserve">No material domestic green steel premium or offtake market identified; CBAM exposure affects only the exported share of Chinese steel production</t>
  </si>
  <si>
    <t xml:space="preserve">BloombergNEF Green Steel Tracker</t>
  </si>
  <si>
    <t xml:space="preserve">A full-scale cement CCS facility in Norway is operational (~0.4 Mtpa), the first of its kind globally, establishing an operating track record</t>
  </si>
  <si>
    <t xml:space="preserve">Global CCS Institute CO2RE database; company project disclosures</t>
  </si>
  <si>
    <t xml:space="preserve">Several cement CCS projects are in planning or FID stage under DOE Industrial Demonstrations Program support, but no full-scale facility is yet operational</t>
  </si>
  <si>
    <t xml:space="preserve">Global CCS Institute CO2RE database; US DOE Industrial Demonstrations Program</t>
  </si>
  <si>
    <t xml:space="preserve">No full-scale operational or FID-stage cement CCS facility identified in China as of the assessment date</t>
  </si>
  <si>
    <t xml:space="preserve">Global CCS Institute CO2RE database; pending direct verification</t>
  </si>
  <si>
    <t xml:space="preserve">EU average clinker ratio has been declining via SCM substitution but remains above the H threshold on a region-wide basis</t>
  </si>
  <si>
    <t xml:space="preserve">Global Cement and Concrete Association sustainability data</t>
  </si>
  <si>
    <t xml:space="preserve">US clinker ratio broadly similar to EU average; fly ash availability declining as coal plants retire, creating a supply constraint on this specific SCM</t>
  </si>
  <si>
    <t xml:space="preserve">Global Cement and Concrete Association sustainability data; Portland Cement Association</t>
  </si>
  <si>
    <t xml:space="preserve">China's large cement sector has significant SCM substitution in some provinces, but sector-wide average clinker ratio data is less transparently reported than in the EU/US</t>
  </si>
  <si>
    <t xml:space="preserve">Global Cement and Concrete Association; directional estimate pending primary verification</t>
  </si>
  <si>
    <t xml:space="preserve">EU ETS price plus CBAM coverage of cement from the definitive regime, with free allocation phasing out in parallel</t>
  </si>
  <si>
    <t xml:space="preserve">EU CBAM Regulation 2023/956; European Commission DG CLIMA cement clinker benchmark</t>
  </si>
  <si>
    <t xml:space="preserve">No federal carbon price applies to cement production and no border adjustment mechanism is in force</t>
  </si>
  <si>
    <t xml:space="preserve">China's national ETS was expanded in 2025 to formally include cement (alongside steel and aluminium smelting). The post-expansion carbon price (CNY 66.9-97/tonne, approx. USD 9-14/tonne) remains well below the level required to make CCS-based cement decarbonisation economically rational, and free allocation dominates for covered cement entities through the initial 2024-2026 compliance period. No CBAM-equivalent border levy applies to protect low-carbon Chinese cement producers competing domestically against unabated production.</t>
  </si>
  <si>
    <t xml:space="preserve">Ministry of Ecology and Environment (China) allocation plan (Nov 2025); ICAP China National ETS tracker; IEEFA ETS reforms analysis</t>
  </si>
  <si>
    <t xml:space="preserve">EU Innovation Fund has made disbursed grant awards to cement CCS projects, providing a live and demonstrated funding mechanism</t>
  </si>
  <si>
    <t xml:space="preserve">European Climate, Infrastructure and Environment Executive Agency (CINEA) award decisions</t>
  </si>
  <si>
    <t xml:space="preserve">DOE Industrial Demonstrations Program has made awards under IRA/BIL funding but disbursement to cement CCS remains at an earlier stage than the EU precedent</t>
  </si>
  <si>
    <t xml:space="preserve">US Department of Energy Industrial Demonstrations Program awards</t>
  </si>
  <si>
    <t xml:space="preserve">No dedicated public funding mechanism for industrial cement CCS identified at a scale comparable to the EU or US programmes</t>
  </si>
  <si>
    <t xml:space="preserve">Directional assessment pending primary source review of NDRC programmes</t>
  </si>
  <si>
    <t xml:space="preserve">Green public procurement rules exist in several member states and international coalitions include cement/concrete demand commitments, but a binding EU-wide mandate is not yet universal</t>
  </si>
  <si>
    <t xml:space="preserve">European Commission DG ENV; First Movers Coalition Cement &amp; Concrete commitments</t>
  </si>
  <si>
    <t xml:space="preserve">Federal Buy Clean Initiative and some state-level programmes create procurement-linked demand, though scope remains limited relative to total market</t>
  </si>
  <si>
    <t xml:space="preserve">US GSA/EPA Federal Buy Clean Initiative; California Department of General Services</t>
  </si>
  <si>
    <t xml:space="preserve">No material low-carbon cement premium recovery mechanism identified in the domestic Chinese market</t>
  </si>
  <si>
    <t xml:space="preserve">Directional assessment pending primary source review</t>
  </si>
  <si>
    <t xml:space="preserve">EU low-carbon hydrogen cost gap to grey hydrogen has narrowed with rising EU ETS carbon price but remains material outside the most favourable renewable-resource locations</t>
  </si>
  <si>
    <t xml:space="preserve">IEA Global Hydrogen Review; IEA The Future of Petrochemicals</t>
  </si>
  <si>
    <t xml:space="preserve">IRA Section 45V credit materially improves US low-carbon hydrogen economics for chemicals feedstock use in favourable locations, though the gap to grey hydrogen remains wide outside credit-eligible projects. The One Big Beautiful Bill Act (July 2025) accelerated the credit's termination to projects not begun by 1 January 2028, shortening the window in which new chemicals-sector low-carbon hydrogen projects can secure the credit and increasing financing risk for projects not yet under construction.</t>
  </si>
  <si>
    <t xml:space="preserve">US Treasury/IRS Section 45V final regulations; IEA Global Hydrogen Review; OBBBA legislative summaries (Sidley Austin, Velaw)</t>
  </si>
  <si>
    <t xml:space="preserve">Chinese chemicals sector remains predominantly coal- and gas-based feedstock; low-carbon hydrogen cost gap for chemical feedstock use remains wide</t>
  </si>
  <si>
    <t xml:space="preserve">Electric steam cracker pilot projects are at demonstration scale in Europe, representing TRL 6-7</t>
  </si>
  <si>
    <t xml:space="preserve">IEA The Future of Petrochemicals; company/consortium technical disclosures</t>
  </si>
  <si>
    <t xml:space="preserve">No comparable commercial-scale electric cracker pilot identified in the US as of the assessment date</t>
  </si>
  <si>
    <t xml:space="preserve">No comparable commercial-scale electric cracker pilot identified in China as of the assessment date</t>
  </si>
  <si>
    <t xml:space="preserve">EU ETS price applies to chemicals subsectors but free allocation remains material for ammonia and olefins benchmarks; chemicals not yet in CBAM scope</t>
  </si>
  <si>
    <t xml:space="preserve">European Commission DG CLIMA chemicals sector benchmarks</t>
  </si>
  <si>
    <t xml:space="preserve">No federal carbon price applies to chemicals production</t>
  </si>
  <si>
    <t xml:space="preserve">Chemicals sector not yet materially covered by China's national ETS at an effective price level</t>
  </si>
  <si>
    <t xml:space="preserve">Ministry of Ecology and Environment (China) national ETS expansion roadmap</t>
  </si>
  <si>
    <t xml:space="preserve">European shipping and industrial buyers have signed early-stage green ammonia/methanol offtake agreements, driven substantially by anticipated IMO and FuelEU Maritime compliance demand</t>
  </si>
  <si>
    <t xml:space="preserve">US green ammonia/methanol offtake activity remains at an earlier and smaller scale than Europe's, concentrated in a small number of announced Gulf Coast projects</t>
  </si>
  <si>
    <t xml:space="preserve">Directional estimate pending primary source review</t>
  </si>
  <si>
    <t xml:space="preserve">No material green ammonia/methanol domestic offtake market identified</t>
  </si>
  <si>
    <t xml:space="preserve">Battery-electric mining equipment pilots operating at several European mines, though sector-wide deployment remains limited relative to the installed diesel fleet</t>
  </si>
  <si>
    <t xml:space="preserve">IEA Critical Minerals Outlook; directional estimate pending primary verification</t>
  </si>
  <si>
    <t xml:space="preserve">Similar pilot-stage deployment pattern to the EU; a small number of operating mines have adopted battery-electric equipment at scale</t>
  </si>
  <si>
    <t xml:space="preserve">S&amp;P Global Market Intelligence; directional estimate pending primary verification</t>
  </si>
  <si>
    <t xml:space="preserve">China's domestic mining equipment manufacturing base is investing in electrification, though deployment across the very large domestic mining sector remains uneven</t>
  </si>
  <si>
    <t xml:space="preserve">EU Critical Raw Materials Act establishes a statutory fast-track permitting requirement (target 27 months for Strategic Projects) that meets the H threshold</t>
  </si>
  <si>
    <t xml:space="preserve">Federal permitting reform efforts and Defense Production Act invocations have accelerated some strategic projects, but a statutory economy-wide fast-track timeline comparable to the EU CRMA is not in force</t>
  </si>
  <si>
    <t xml:space="preserve">US Department of Interior; Congressional Research Service permitting reform tracking</t>
  </si>
  <si>
    <t xml:space="preserve">China's state-directed mining approval process for strategic minerals is generally faster than Western jurisdictions given the state's direct role in project sponsorship</t>
  </si>
  <si>
    <t xml:space="preserve">Ministry of Natural Resources (China); directional estimate pending primary verification</t>
  </si>
  <si>
    <t xml:space="preserve">EU Critical Raw Materials Act sets binding 2030 benchmarks for domestic extraction (10%), processing (40%), and recycling (25%) of strategic raw material consumption</t>
  </si>
  <si>
    <t xml:space="preserve">Section 30D's critical mineral sourcing requirement no longer functions as an active demand-side incentive: the New Clean Vehicle Credit terminated for vehicles acquired after 30 September 2025 under the One Big Beautiful Bill Act (P.L. 119-21, signed 4 July 2025). The domestic/FTA-partner sourcing thresholds that previously tied a material subsidy to critical mineral origin have lost their financial mechanism. Some residual effect persists through Section 45X advanced manufacturing credits and remaining IRA-era supply chain investment already committed, which is why this is a downgrade to Moderate rather than Low.</t>
  </si>
  <si>
    <t xml:space="preserve">US Department of Energy / IRS Section 30D guidance; Sidley Austin, Kirkland &amp; Ellis, Steptoe legislative summaries of OBBBA (P.L. 119-21), all confirming Sept 30 2025 termination date</t>
  </si>
  <si>
    <t xml:space="preserve">China applies export control measures on selected critical minerals which function as a form of domestic-sourcing/strategic-control policy, though this differs structurally from an inbound content requirement</t>
  </si>
  <si>
    <t xml:space="preserve">Ministry of Commerce (China) export control announcements</t>
  </si>
  <si>
    <t xml:space="preserve">EU remains heavily import-dependent for most strategic minerals; domestic offtake agreements and committed expansion capacity cover only a small share of the identified regional supply gap</t>
  </si>
  <si>
    <t xml:space="preserve">IEA Critical Minerals Outlook regional supply gap tables</t>
  </si>
  <si>
    <t xml:space="preserve">IRA-linked demand and Defense Production Act support have catalysed a growing pipeline of domestic and allied offtake agreements, though the identified NZE-scenario supply gap remains largely uncovered</t>
  </si>
  <si>
    <t xml:space="preserve">IEA Critical Minerals Outlook; company disclosures</t>
  </si>
  <si>
    <t xml:space="preserve">China's dominant position in processing capacity for lithium, cobalt, and rare earths means domestic offtake and supply chain integration already covers a large share of its own demand and a material share of global demand</t>
  </si>
  <si>
    <t xml:space="preserve">IEA Critical Minerals Outlook; USGS Mineral Commodity Summaries</t>
  </si>
  <si>
    <t xml:space="preserve">EU SAF production capacity remains well below 5% of regional jet fuel demand, notwithstanding a growing project pipeline</t>
  </si>
  <si>
    <t xml:space="preserve">IATA SAF Tracker; IEA Aviation tracking report</t>
  </si>
  <si>
    <t xml:space="preserve">US SAF production capacity, while the largest in absolute terms globally, remains a small single-digit percentage of total jet fuel demand</t>
  </si>
  <si>
    <t xml:space="preserve">IATA SAF Tracker; US DOE SAF Grand Challenge tracking</t>
  </si>
  <si>
    <t xml:space="preserve">China SAF production capacity is at an early stage relative to total domestic jet fuel demand</t>
  </si>
  <si>
    <t xml:space="preserve">IATA SAF Tracker; directional estimate pending primary verification</t>
  </si>
  <si>
    <t xml:space="preserve">ReFuelEU Aviation Regulation sets a binding blending mandate starting at 2% in 2025 and escalating to 70% by 2050, with penalties for non-compliance</t>
  </si>
  <si>
    <t xml:space="preserve">US SAF policy relies on a tax credit structure rather than a binding blending mandate; no federal blending percentage requirement is in force</t>
  </si>
  <si>
    <t xml:space="preserve">US Department of Energy SAF Grand Challenge; US Treasury guidance</t>
  </si>
  <si>
    <t xml:space="preserve">No binding domestic SAF blending mandate identified; China participates in CORSIA on a voluntary-phase basis</t>
  </si>
  <si>
    <t xml:space="preserve">ICAO CORSIA scheme status; directional estimate on domestic mandate absence</t>
  </si>
  <si>
    <t xml:space="preserve">ReFuelEU mandate compliance value partially offsets the SAF premium; a growing number of corporate travel and cargo buyers have signed SAF offtake or book-and-claim agreements</t>
  </si>
  <si>
    <t xml:space="preserve">IATA SAF price tracking; airline company disclosures</t>
  </si>
  <si>
    <t xml:space="preserve">Federal tax credit provides a partial offset to the SAF premium; several major US airlines have signed offtake agreements, though volumes remain a small share of total fuel consumption</t>
  </si>
  <si>
    <t xml:space="preserve">Airline company disclosures; US Treasury guidance</t>
  </si>
  <si>
    <t xml:space="preserve">No material domestic offset mechanism or offtake agreement volume identified for the Chinese aviation market</t>
  </si>
  <si>
    <t xml:space="preserve">European-domiciled carriers have driven a material share of global methanol dual-fuel vessel orders, though the EU-flagged/owned share of the global new-build order book sits in the moderate range</t>
  </si>
  <si>
    <t xml:space="preserve">Clarksons Research World Fleet Register; DNV Alternative Fuels Insight</t>
  </si>
  <si>
    <t xml:space="preserve">US-flagged and US-owned share of the global alternative-fuel vessel order book remains small; the US commercial deep-sea fleet is a minor share of global tonnage</t>
  </si>
  <si>
    <t xml:space="preserve">Clarksons Research World Fleet Register; directional estimate pending primary verification</t>
  </si>
  <si>
    <t xml:space="preserve">Chinese shipyards are major builders of alternative-fuel-capable vessels for global owners, giving China a strong position in the technology supply chain even where the ordering owner is not Chinese</t>
  </si>
  <si>
    <t xml:space="preserve">Both EU ETS maritime inclusion (phasing in from 2024) and FuelEU Maritime's binding GHG intensity reduction targets apply concurrently, meeting the H threshold</t>
  </si>
  <si>
    <t xml:space="preserve">EU ETS Maritime Directive 2023/959; EU FuelEU Maritime Regulation 2023/1805</t>
  </si>
  <si>
    <t xml:space="preserve">No US federal carbon price or fuel intensity mandate applies to shipping; US engagement with IMO measures remains at the negotiation stage</t>
  </si>
  <si>
    <t xml:space="preserve">IMO Revised GHG Strategy status; World Bank Carbon Pricing Dashboard</t>
  </si>
  <si>
    <t xml:space="preserve">No domestic Chinese carbon price or fuel intensity mandate applies to shipping beyond IMO's global framework, which remains at an earlier implementation stage than the EU's regional measures</t>
  </si>
  <si>
    <t xml:space="preserve">IMO Revised GHG Strategy status</t>
  </si>
  <si>
    <t xml:space="preserve">Several green corridor initiatives involving European ports and carriers have been announced, with committed but still limited cargo volumes</t>
  </si>
  <si>
    <t xml:space="preserve">US West Coast ports participate in several announced trans-Pacific green corridor initiatives, though committed cargo volume remains at an early stage</t>
  </si>
  <si>
    <t xml:space="preserve">Chinese ports are participants in several announced green corridor initiatives on major trade routes, reflecting China's centrality to global container trade, though binding cargo commitments remain limited</t>
  </si>
  <si>
    <t xml:space="preserve">Getting to Zero Coalition Green Corridors tracker; directional estimate pending primary verification</t>
  </si>
  <si>
    <t xml:space="preserve">TCO parity for battery-electric trucks is being reached for regional/depot-based duty cycles in several EU markets, aided by lower energy costs and purchase incentives, but long-haul remains uncompetitive</t>
  </si>
  <si>
    <t xml:space="preserve">ICCT Total Cost of Ownership analyses; IEA Global EV Outlook heavy-duty chapter</t>
  </si>
  <si>
    <t xml:space="preserve">US TCO analyses show approaching parity for depot-based regional operations but long-haul TCO remains materially above diesel given charging infrastructure and payload constraints</t>
  </si>
  <si>
    <t xml:space="preserve">Chinese battery-electric heavy trucks have reached TCO parity or better for depot-based and regional operations, driven by the world's lowest battery costs and government purchase subsidies</t>
  </si>
  <si>
    <t xml:space="preserve">IEA Global EV Outlook heavy-duty chapter; BloombergNEF China EV tracking</t>
  </si>
  <si>
    <t xml:space="preserve">EU CO2 standards for heavy-duty vehicles set binding fleet-average reduction targets with penalties for manufacturers, among the most stringent globally</t>
  </si>
  <si>
    <t xml:space="preserve">EU Regulation 2024/1610 (heavy-duty vehicle CO2 standards)</t>
  </si>
  <si>
    <t xml:space="preserve">EPA Heavy-Duty Phase 3 GHG standards are binding at the federal level, with California's Advanced Clean Fleets/Advanced Clean Trucks regulations providing additional state-level stringency, though implementation and legal challenges create some uncertainty over the assessment horizon</t>
  </si>
  <si>
    <t xml:space="preserve">US EPA Heavy-Duty Phase 3 GHG standards; California Air Resources Board</t>
  </si>
  <si>
    <t xml:space="preserve">China's NEV credit system extends to commercial vehicles, creating a mandate-like mechanism, though the stringency and enforcement differs structurally from the EU/California standards</t>
  </si>
  <si>
    <t xml:space="preserve">Ministry of Industry and Information Technology (China) NEV credit policy</t>
  </si>
  <si>
    <t xml:space="preserve">EU Alternative Fuels Infrastructure Regulation mandates minimum charging point density on TEN-T core network corridors, with deployment underway but not yet complete against the mandated schedule</t>
  </si>
  <si>
    <t xml:space="preserve">EU Alternative Fuels Infrastructure Regulation (2023/1804)</t>
  </si>
  <si>
    <t xml:space="preserve">Public heavy-duty charging infrastructure on long-haul freight corridors remains sparse; deployment is concentrated around depots and distribution centres rather than public highway corridors</t>
  </si>
  <si>
    <t xml:space="preserve">US DOE Alternative Fuels Data Center</t>
  </si>
  <si>
    <t xml:space="preserve">China has the largest absolute public charging network globally, including growing heavy-duty-capable infrastructure, though density on the most important long-haul freight corridors is uneven</t>
  </si>
  <si>
    <t xml:space="preserve">EU/EEA-domiciled operators (particularly North Sea producers) report among the highest LDAR and flaring-reduction technology deployment rates globally, reinforced by OGMP 2.0 reporting commitments</t>
  </si>
  <si>
    <t xml:space="preserve">IEA Methane Tracker; OGMP 2.0 reporting</t>
  </si>
  <si>
    <t xml:space="preserve">LDAR deployment is growing under new EPA methane rules but remains uneven across operators and basins, with flaring intensity notably higher in some shale basins than in the North Sea</t>
  </si>
  <si>
    <t xml:space="preserve">Methane monitoring and abatement technology deployment in China's upstream sector remains at an earlier stage than the EU or US based on available IEA methane intensity data</t>
  </si>
  <si>
    <t xml:space="preserve">IEA Methane Tracker; directional estimate pending primary verification</t>
  </si>
  <si>
    <t xml:space="preserve">EU Methane Regulation establishes binding MRV requirements, leak detection and repair obligations, and an import standard applicable to non-EU suppliers from 2027</t>
  </si>
  <si>
    <t xml:space="preserve">The EPA's Waste Emissions Charge implementing rule was nullified via a Congressional Review Act joint resolution (H.J.Res.35, P.L. 119-2) signed 14 March 2025. The underlying statutory fee remains on the books but EPA is barred from collecting it until 2034, and the CRA bars EPA from issuing a substantially similar rule without new legislative authority. No enforceable federal methane price currently applies to US upstream oil and gas operations; EPA performance standards (NSPS OOOOb/EG OOOOc) and GHG reporting requirements remain in effect but carry no direct cost mechanism.</t>
  </si>
  <si>
    <t xml:space="preserve">Federal Register, Congressional Review Act Revocation of Waste Emissions Charge (90 FR, 19 May 2025); Congressional Research Service R48906; Harvard Environmental &amp; Energy Law Program regulatory tracker</t>
  </si>
  <si>
    <t xml:space="preserve">China has published a methane control action plan with monitoring and target-setting elements, but a binding fee or hard emission limit comparable to the EU/US mechanisms is not yet in force</t>
  </si>
  <si>
    <t xml:space="preserve">Ministry of Ecology and Environment (China) methane control action plan</t>
  </si>
  <si>
    <t xml:space="preserve">EU oil and gas demand is in structural decline under both stated policy and announced pledges scenarios, reflecting REPowerEU-driven substitution away from fossil fuels</t>
  </si>
  <si>
    <t xml:space="preserve">IEA World Energy Outlook regional demand scenarios</t>
  </si>
  <si>
    <t xml:space="preserve">US oil and gas demand trajectory is roughly flat to gradually declining under stated policies, with continued LNG export growth partially offsetting domestic demand softness</t>
  </si>
  <si>
    <t xml:space="preserve">Chinese gas demand continues to grow as a coal-substitution fuel even as oil demand growth slows, giving a mixed but not sharply declining near-term trajectory under stated policies</t>
  </si>
  <si>
    <t xml:space="preserve">Sector × Region Feasibility Dashboard</t>
  </si>
  <si>
    <t xml:space="preserve">Computed from the Assessment Matrix — average numeric score per sector/region (H=3, M=2, L=1)</t>
  </si>
  <si>
    <t xml:space="preserve">Scores: 3.0 = fully High, 2.0 = fully Moderate, 1.0 = fully Low. Computed live via SUMPRODUCT from the Assessment Matrix sheet.</t>
  </si>
  <si>
    <t xml:space="preserve">Legend: ●●● 2.5-3.0 High feasibility   ●●○ 1.5-2.49 Moderate   ●○○ 1.0-1.49 Low</t>
  </si>
  <si>
    <t xml:space="preserve">~40% of global energy-related CO2 (IEA, power generation)</t>
  </si>
  <si>
    <t xml:space="preserve">Dominant emission source: Fossil fuel combustion (coal, gas) for electricity generation</t>
  </si>
  <si>
    <t xml:space="preserve">Evidence</t>
  </si>
  <si>
    <t xml:space="preserve">Source</t>
  </si>
  <si>
    <t xml:space="preserve">~7-9% of global CO2 emissions (World Steel Association / IEA)</t>
  </si>
  <si>
    <t xml:space="preserve">Dominant emission source: Coal used as chemical reductant in blast furnace-basic oxygen furnace (BF-BOF) route</t>
  </si>
  <si>
    <t xml:space="preserve">~7% of global CO2 emissions (IEA / Global Cement and Concrete Association)</t>
  </si>
  <si>
    <t xml:space="preserve">Dominant emission source: Limestone calcination (process emissions, ~60%) plus kiln fuel combustion</t>
  </si>
  <si>
    <t xml:space="preserve">~5-6% of global CO2 emissions (IEA)</t>
  </si>
  <si>
    <t xml:space="preserve">Dominant emission source: Fossil feedstock and process heat for ammonia, methanol, olefins production</t>
  </si>
  <si>
    <t xml:space="preserve">Enabling sector; own emissions modest, systemic transition relevance high (IEA Critical Minerals Outlook)</t>
  </si>
  <si>
    <t xml:space="preserve">Dominant emission source: Diesel mining equipment, ore processing energy, smelting</t>
  </si>
  <si>
    <t xml:space="preserve">~2-3% of global CO2 emissions, disproportionate radiative forcing (IATA / IEA)</t>
  </si>
  <si>
    <t xml:space="preserve">Dominant emission source: Jet fuel combustion</t>
  </si>
  <si>
    <t xml:space="preserve">~3% of global CO2 emissions (IMO Fourth GHG Study)</t>
  </si>
  <si>
    <t xml:space="preserve">Dominant emission source: Heavy fuel oil / marine diesel combustion</t>
  </si>
  <si>
    <t xml:space="preserve">~6% of global transport CO2 (IEA)</t>
  </si>
  <si>
    <t xml:space="preserve">Dominant emission source: Diesel combustion in trucks and buses</t>
  </si>
  <si>
    <t xml:space="preserve">Scope 1/2 ~5% of global energy CO2; primary transition relevance is stranded asset and methane exposure (IEA)</t>
  </si>
  <si>
    <t xml:space="preserve">Dominant emission source: Methane leakage, flaring, and combustion in extraction and processing</t>
  </si>
</sst>
</file>

<file path=xl/styles.xml><?xml version="1.0" encoding="utf-8"?>
<styleSheet xmlns="http://schemas.openxmlformats.org/spreadsheetml/2006/main">
  <numFmts count="2">
    <numFmt numFmtId="164" formatCode="General"/>
    <numFmt numFmtId="165" formatCode="0.00"/>
  </numFmts>
  <fonts count="29">
    <font>
      <sz val="11"/>
      <color theme="1"/>
      <name val="Calibri"/>
      <family val="2"/>
      <charset val="1"/>
    </font>
    <font>
      <sz val="10"/>
      <name val="Arial"/>
      <family val="0"/>
    </font>
    <font>
      <sz val="10"/>
      <name val="Arial"/>
      <family val="0"/>
    </font>
    <font>
      <sz val="10"/>
      <name val="Arial"/>
      <family val="0"/>
    </font>
    <font>
      <b val="true"/>
      <sz val="16"/>
      <color rgb="FF0D2137"/>
      <name val="Arial"/>
      <family val="0"/>
      <charset val="1"/>
    </font>
    <font>
      <i val="true"/>
      <sz val="11"/>
      <color rgb="FF64748B"/>
      <name val="Arial"/>
      <family val="0"/>
      <charset val="1"/>
    </font>
    <font>
      <b val="true"/>
      <sz val="12"/>
      <color rgb="FF0D2137"/>
      <name val="Arial"/>
      <family val="0"/>
      <charset val="1"/>
    </font>
    <font>
      <sz val="10"/>
      <color rgb="FF334155"/>
      <name val="Arial"/>
      <family val="0"/>
      <charset val="1"/>
    </font>
    <font>
      <b val="true"/>
      <sz val="10"/>
      <color rgb="FF0F172A"/>
      <name val="Arial"/>
      <family val="0"/>
      <charset val="1"/>
    </font>
    <font>
      <i val="true"/>
      <sz val="9"/>
      <color rgb="FF64748B"/>
      <name val="Arial"/>
      <family val="0"/>
      <charset val="1"/>
    </font>
    <font>
      <b val="true"/>
      <sz val="10"/>
      <color rgb="FFFFFFFF"/>
      <name val="Arial"/>
      <family val="0"/>
      <charset val="1"/>
    </font>
    <font>
      <u val="single"/>
      <sz val="9"/>
      <color rgb="FF0563C1"/>
      <name val="Arial"/>
      <family val="0"/>
      <charset val="1"/>
    </font>
    <font>
      <sz val="8"/>
      <color rgb="FF64748B"/>
      <name val="Arial"/>
      <family val="0"/>
      <charset val="1"/>
    </font>
    <font>
      <b val="true"/>
      <sz val="9"/>
      <color rgb="FF7F1D1D"/>
      <name val="Arial"/>
      <family val="0"/>
      <charset val="1"/>
    </font>
    <font>
      <i val="true"/>
      <sz val="9"/>
      <color rgb="FF94A3B8"/>
      <name val="Arial"/>
      <family val="0"/>
      <charset val="1"/>
    </font>
    <font>
      <b val="true"/>
      <sz val="9"/>
      <color rgb="FF0E7490"/>
      <name val="Arial"/>
      <family val="0"/>
      <charset val="1"/>
    </font>
    <font>
      <b val="true"/>
      <sz val="9"/>
      <color rgb="FF92400E"/>
      <name val="Arial"/>
      <family val="0"/>
      <charset val="1"/>
    </font>
    <font>
      <b val="true"/>
      <sz val="9"/>
      <color rgb="FF0F5132"/>
      <name val="Arial"/>
      <family val="0"/>
      <charset val="1"/>
    </font>
    <font>
      <b val="true"/>
      <sz val="9"/>
      <color rgb="FF0D2137"/>
      <name val="Arial"/>
      <family val="0"/>
      <charset val="1"/>
    </font>
    <font>
      <b val="true"/>
      <sz val="9"/>
      <color rgb="FF065F46"/>
      <name val="Arial"/>
      <family val="0"/>
      <charset val="1"/>
    </font>
    <font>
      <sz val="10"/>
      <color rgb="FF334155"/>
      <name val="Noto Sans CJK SC"/>
      <family val="2"/>
    </font>
    <font>
      <b val="true"/>
      <sz val="10"/>
      <color rgb="FF065F46"/>
      <name val="Arial"/>
      <family val="0"/>
      <charset val="1"/>
    </font>
    <font>
      <sz val="9"/>
      <color rgb="FF065F46"/>
      <name val="Arial"/>
      <family val="0"/>
      <charset val="1"/>
    </font>
    <font>
      <sz val="9"/>
      <color rgb="FF0000FF"/>
      <name val="Arial"/>
      <family val="0"/>
      <charset val="1"/>
    </font>
    <font>
      <i val="true"/>
      <sz val="9"/>
      <color rgb="FF0000FF"/>
      <name val="Arial"/>
      <family val="0"/>
      <charset val="1"/>
    </font>
    <font>
      <sz val="9"/>
      <color rgb="FF92400E"/>
      <name val="Arial"/>
      <family val="0"/>
      <charset val="1"/>
    </font>
    <font>
      <b val="true"/>
      <sz val="10"/>
      <color rgb="FF92400E"/>
      <name val="Arial"/>
      <family val="0"/>
      <charset val="1"/>
    </font>
    <font>
      <sz val="9"/>
      <color rgb="FF7F1D1D"/>
      <name val="Arial"/>
      <family val="0"/>
      <charset val="1"/>
    </font>
    <font>
      <b val="true"/>
      <sz val="10"/>
      <color rgb="FF7F1D1D"/>
      <name val="Arial"/>
      <family val="0"/>
      <charset val="1"/>
    </font>
  </fonts>
  <fills count="6">
    <fill>
      <patternFill patternType="none"/>
    </fill>
    <fill>
      <patternFill patternType="gray125"/>
    </fill>
    <fill>
      <patternFill patternType="solid">
        <fgColor rgb="FFD1FAE5"/>
        <bgColor rgb="FFCCFFFF"/>
      </patternFill>
    </fill>
    <fill>
      <patternFill patternType="solid">
        <fgColor rgb="FFFEF3C7"/>
        <bgColor rgb="FFFEE2E2"/>
      </patternFill>
    </fill>
    <fill>
      <patternFill patternType="solid">
        <fgColor rgb="FFFEE2E2"/>
        <bgColor rgb="FFFEF3C7"/>
      </patternFill>
    </fill>
    <fill>
      <patternFill patternType="solid">
        <fgColor rgb="FF0D2137"/>
        <bgColor rgb="FF0F172A"/>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3"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64" fontId="28" fillId="4"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F1D1D"/>
      <rgbColor rgb="FF008000"/>
      <rgbColor rgb="FF000080"/>
      <rgbColor rgb="FF808000"/>
      <rgbColor rgb="FF800080"/>
      <rgbColor rgb="FF0E7490"/>
      <rgbColor rgb="FFC0C0C0"/>
      <rgbColor rgb="FF808080"/>
      <rgbColor rgb="FF9999FF"/>
      <rgbColor rgb="FF993366"/>
      <rgbColor rgb="FFFEF3C7"/>
      <rgbColor rgb="FFCCFFFF"/>
      <rgbColor rgb="FF660066"/>
      <rgbColor rgb="FFFF8080"/>
      <rgbColor rgb="FF0563C1"/>
      <rgbColor rgb="FFCBD5E1"/>
      <rgbColor rgb="FF000080"/>
      <rgbColor rgb="FFFF00FF"/>
      <rgbColor rgb="FFFFFF00"/>
      <rgbColor rgb="FF00FFFF"/>
      <rgbColor rgb="FF800080"/>
      <rgbColor rgb="FF800000"/>
      <rgbColor rgb="FF065F46"/>
      <rgbColor rgb="FF0000FF"/>
      <rgbColor rgb="FF00CCFF"/>
      <rgbColor rgb="FFCCFFFF"/>
      <rgbColor rgb="FFD1FAE5"/>
      <rgbColor rgb="FFFFFF99"/>
      <rgbColor rgb="FF99CCFF"/>
      <rgbColor rgb="FFFF99CC"/>
      <rgbColor rgb="FFCC99FF"/>
      <rgbColor rgb="FFFEE2E2"/>
      <rgbColor rgb="FF3366FF"/>
      <rgbColor rgb="FF33CCCC"/>
      <rgbColor rgb="FF99CC00"/>
      <rgbColor rgb="FFFFCC00"/>
      <rgbColor rgb="FFFF9900"/>
      <rgbColor rgb="FFFF6600"/>
      <rgbColor rgb="FF64748B"/>
      <rgbColor rgb="FF94A3B8"/>
      <rgbColor rgb="FF0D2137"/>
      <rgbColor rgb="FF339966"/>
      <rgbColor rgb="FF0F172A"/>
      <rgbColor rgb="FF0F5132"/>
      <rgbColor rgb="FF92400E"/>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iea.org/reports/world-energy-investment-2025" TargetMode="External"/><Relationship Id="rId2" Type="http://schemas.openxmlformats.org/officeDocument/2006/relationships/hyperlink" Target="https://www.iea.org/energy-system/electricity/grid-scale-storage" TargetMode="External"/><Relationship Id="rId3" Type="http://schemas.openxmlformats.org/officeDocument/2006/relationships/hyperlink" Target="https://www.eex.com/en/market-data/environmental-markets/spot-market" TargetMode="External"/><Relationship Id="rId4" Type="http://schemas.openxmlformats.org/officeDocument/2006/relationships/hyperlink" Target="https://eur-lex.europa.eu/eli/dir/2018/2001/oj" TargetMode="External"/><Relationship Id="rId5" Type="http://schemas.openxmlformats.org/officeDocument/2006/relationships/hyperlink" Target="https://about.bnef.com/" TargetMode="External"/><Relationship Id="rId6" Type="http://schemas.openxmlformats.org/officeDocument/2006/relationships/hyperlink" Target="https://www.iea.org/reports/global-hydrogen-review-2024" TargetMode="External"/><Relationship Id="rId7" Type="http://schemas.openxmlformats.org/officeDocument/2006/relationships/hyperlink" Target="https://worldsteel.org/data/world-steel-in-figures/" TargetMode="External"/><Relationship Id="rId8" Type="http://schemas.openxmlformats.org/officeDocument/2006/relationships/hyperlink" Target="https://eur-lex.europa.eu/eli/reg/2023/956/oj/eng" TargetMode="External"/><Relationship Id="rId9" Type="http://schemas.openxmlformats.org/officeDocument/2006/relationships/hyperlink" Target="https://green-business.ec.europa.eu/green-public-procurement_en" TargetMode="External"/><Relationship Id="rId10" Type="http://schemas.openxmlformats.org/officeDocument/2006/relationships/hyperlink" Target="https://about.bnef.com/" TargetMode="External"/><Relationship Id="rId11" Type="http://schemas.openxmlformats.org/officeDocument/2006/relationships/hyperlink" Target="https://co2re.co/FacilityData" TargetMode="External"/><Relationship Id="rId12" Type="http://schemas.openxmlformats.org/officeDocument/2006/relationships/hyperlink" Target="https://gccassociation.org/sustainability-innovation/gnr-gcca-in-numbers/" TargetMode="External"/><Relationship Id="rId13" Type="http://schemas.openxmlformats.org/officeDocument/2006/relationships/hyperlink" Target="https://eur-lex.europa.eu/eli/reg/2023/956/oj/eng" TargetMode="External"/><Relationship Id="rId14" Type="http://schemas.openxmlformats.org/officeDocument/2006/relationships/hyperlink" Target="https://cinea.ec.europa.eu/programmes/innovation-fund_en" TargetMode="External"/><Relationship Id="rId15" Type="http://schemas.openxmlformats.org/officeDocument/2006/relationships/hyperlink" Target="https://green-business.ec.europa.eu/green-public-procurement_en" TargetMode="External"/><Relationship Id="rId16" Type="http://schemas.openxmlformats.org/officeDocument/2006/relationships/hyperlink" Target="https://www.iea.org/reports/global-hydrogen-review-2024" TargetMode="External"/><Relationship Id="rId17" Type="http://schemas.openxmlformats.org/officeDocument/2006/relationships/hyperlink" Target="https://www.iea.org/reports/world-energy-outlook-2024" TargetMode="External"/><Relationship Id="rId18" Type="http://schemas.openxmlformats.org/officeDocument/2006/relationships/hyperlink" Target="https://eur-lex.europa.eu/eli/reg_impl/2021/447/2026-03-18/eng" TargetMode="External"/><Relationship Id="rId19" Type="http://schemas.openxmlformats.org/officeDocument/2006/relationships/hyperlink" Target="https://www.imo.org/en/OurWork/Environment/Pages/2023-IMO-Strategy-on-Reduction-of-GHG-Emissions-from-Ships.aspx" TargetMode="External"/><Relationship Id="rId20" Type="http://schemas.openxmlformats.org/officeDocument/2006/relationships/hyperlink" Target="https://www.iea.org/reports/global-critical-minerals-outlook-2024" TargetMode="External"/><Relationship Id="rId21" Type="http://schemas.openxmlformats.org/officeDocument/2006/relationships/hyperlink" Target="https://eur-lex.europa.eu/eli/reg/2024/1252/2024-05-03/eng" TargetMode="External"/><Relationship Id="rId22" Type="http://schemas.openxmlformats.org/officeDocument/2006/relationships/hyperlink" Target="https://www.energy.gov/mesc/30d-new-clean-vehicle-credit" TargetMode="External"/><Relationship Id="rId23" Type="http://schemas.openxmlformats.org/officeDocument/2006/relationships/hyperlink" Target="https://www.iea.org/reports/global-critical-minerals-outlook-2024" TargetMode="External"/><Relationship Id="rId24" Type="http://schemas.openxmlformats.org/officeDocument/2006/relationships/hyperlink" Target="https://www.iata.org/en/iata-repository/publications/economic-reports/sustainable-aviation-fuel-fact-sheet/" TargetMode="External"/><Relationship Id="rId25" Type="http://schemas.openxmlformats.org/officeDocument/2006/relationships/hyperlink" Target="https://eur-lex.europa.eu/eli/reg/2023/2405/oj" TargetMode="External"/><Relationship Id="rId26" Type="http://schemas.openxmlformats.org/officeDocument/2006/relationships/hyperlink" Target="https://www.iata.org/en/programs/environment/sustainable-aviation-fuels/" TargetMode="External"/><Relationship Id="rId27" Type="http://schemas.openxmlformats.org/officeDocument/2006/relationships/hyperlink" Target="https://www.clarksons.net/wfr/" TargetMode="External"/><Relationship Id="rId28" Type="http://schemas.openxmlformats.org/officeDocument/2006/relationships/hyperlink" Target="https://eur-lex.europa.eu/eli/dir/2023/959/oj" TargetMode="External"/><Relationship Id="rId29" Type="http://schemas.openxmlformats.org/officeDocument/2006/relationships/hyperlink" Target="https://www.globalmaritimeforum.org/green-corridors" TargetMode="External"/><Relationship Id="rId30" Type="http://schemas.openxmlformats.org/officeDocument/2006/relationships/hyperlink" Target="https://www.iea.org/reports/world-energy-outlook-2024" TargetMode="External"/><Relationship Id="rId31" Type="http://schemas.openxmlformats.org/officeDocument/2006/relationships/hyperlink" Target="https://eur-lex.europa.eu/eli/reg/2024/1610/oj" TargetMode="External"/><Relationship Id="rId32" Type="http://schemas.openxmlformats.org/officeDocument/2006/relationships/hyperlink" Target="https://eur-lex.europa.eu/eli/reg/2023/1804/2026-01-08/eng" TargetMode="External"/><Relationship Id="rId33" Type="http://schemas.openxmlformats.org/officeDocument/2006/relationships/hyperlink" Target="https://www.iea.org/reports/global-methane-tracker-2025" TargetMode="External"/><Relationship Id="rId34" Type="http://schemas.openxmlformats.org/officeDocument/2006/relationships/hyperlink" Target="https://eur-lex.europa.eu/eli/reg/2024/1787/oj/eng" TargetMode="External"/><Relationship Id="rId35" Type="http://schemas.openxmlformats.org/officeDocument/2006/relationships/hyperlink" Target="https://www.iea.org/reports/world-energy-outlook-2024"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about.bnef.com/" TargetMode="External"/><Relationship Id="rId2" Type="http://schemas.openxmlformats.org/officeDocument/2006/relationships/hyperlink" Target="https://about.bnef.com/" TargetMode="External"/><Relationship Id="rId3" Type="http://schemas.openxmlformats.org/officeDocument/2006/relationships/hyperlink" Target="https://about.bnef.com/" TargetMode="External"/><Relationship Id="rId4" Type="http://schemas.openxmlformats.org/officeDocument/2006/relationships/hyperlink" Target="https://about.bnef.com/" TargetMode="External"/><Relationship Id="rId5" Type="http://schemas.openxmlformats.org/officeDocument/2006/relationships/hyperlink" Target="https://ww2.arb.ca.gov/our-work/programs/advanced-clean-fleets" TargetMode="External"/><Relationship Id="rId6" Type="http://schemas.openxmlformats.org/officeDocument/2006/relationships/hyperlink" Target="http://www.evcipa.org.cn/" TargetMode="External"/><Relationship Id="rId7" Type="http://schemas.openxmlformats.org/officeDocument/2006/relationships/hyperlink" Target="https://www.clarksons.net/wfr/" TargetMode="External"/><Relationship Id="rId8" Type="http://schemas.openxmlformats.org/officeDocument/2006/relationships/hyperlink" Target="https://www.there100.org/re100-progress-and-insights-annual-report" TargetMode="External"/><Relationship Id="rId9" Type="http://schemas.openxmlformats.org/officeDocument/2006/relationships/hyperlink" Target="https://afi.dnv.com/" TargetMode="External"/><Relationship Id="rId10" Type="http://schemas.openxmlformats.org/officeDocument/2006/relationships/hyperlink" Target="https://www.energy-transitions.org/publications/mission-possible/" TargetMode="External"/><Relationship Id="rId11" Type="http://schemas.openxmlformats.org/officeDocument/2006/relationships/hyperlink" Target="https://cinea.ec.europa.eu/programmes/innovation-fund_en" TargetMode="External"/><Relationship Id="rId12" Type="http://schemas.openxmlformats.org/officeDocument/2006/relationships/hyperlink" Target="https://eur-lex.europa.eu/eli/dir/2018/2001/oj" TargetMode="External"/><Relationship Id="rId13" Type="http://schemas.openxmlformats.org/officeDocument/2006/relationships/hyperlink" Target="https://eur-lex.europa.eu/eli/reg/2023/956/oj/eng" TargetMode="External"/><Relationship Id="rId14" Type="http://schemas.openxmlformats.org/officeDocument/2006/relationships/hyperlink" Target="https://eur-lex.europa.eu/eli/reg/2023/1804/2026-01-08/eng" TargetMode="External"/><Relationship Id="rId15" Type="http://schemas.openxmlformats.org/officeDocument/2006/relationships/hyperlink" Target="https://eur-lex.europa.eu/eli/reg/2023/956/oj/eng" TargetMode="External"/><Relationship Id="rId16" Type="http://schemas.openxmlformats.org/officeDocument/2006/relationships/hyperlink" Target="https://eur-lex.europa.eu/eli/reg/2023/956/oj/eng" TargetMode="External"/><Relationship Id="rId17" Type="http://schemas.openxmlformats.org/officeDocument/2006/relationships/hyperlink" Target="https://eur-lex.europa.eu/eli/reg_impl/2021/447/2026-03-18/eng" TargetMode="External"/><Relationship Id="rId18" Type="http://schemas.openxmlformats.org/officeDocument/2006/relationships/hyperlink" Target="https://eur-lex.europa.eu/eli/reg_impl/2021/447/2026-03-18/eng" TargetMode="External"/><Relationship Id="rId19" Type="http://schemas.openxmlformats.org/officeDocument/2006/relationships/hyperlink" Target="https://eur-lex.europa.eu/eli/reg_impl/2021/447/2026-03-18/eng" TargetMode="External"/><Relationship Id="rId20" Type="http://schemas.openxmlformats.org/officeDocument/2006/relationships/hyperlink" Target="https://green-business.ec.europa.eu/green-public-procurement_en" TargetMode="External"/><Relationship Id="rId21" Type="http://schemas.openxmlformats.org/officeDocument/2006/relationships/hyperlink" Target="https://green-business.ec.europa.eu/green-public-procurement_en" TargetMode="External"/><Relationship Id="rId22" Type="http://schemas.openxmlformats.org/officeDocument/2006/relationships/hyperlink" Target="https://www.eex.com/en/market-data/environmental-markets/spot-market" TargetMode="External"/><Relationship Id="rId23" Type="http://schemas.openxmlformats.org/officeDocument/2006/relationships/hyperlink" Target="https://gccassociation.org/sustainability-innovation/gnr-gcca-in-numbers/" TargetMode="External"/><Relationship Id="rId24" Type="http://schemas.openxmlformats.org/officeDocument/2006/relationships/hyperlink" Target="https://co2re.co/FacilityData" TargetMode="External"/><Relationship Id="rId25" Type="http://schemas.openxmlformats.org/officeDocument/2006/relationships/hyperlink" Target="https://www.globalmaritimeforum.org/green-corridors" TargetMode="External"/><Relationship Id="rId26" Type="http://schemas.openxmlformats.org/officeDocument/2006/relationships/hyperlink" Target="https://www.iata.org/en/iata-repository/publications/economic-reports/sustainable-aviation-fuel-fact-sheet/" TargetMode="External"/><Relationship Id="rId27" Type="http://schemas.openxmlformats.org/officeDocument/2006/relationships/hyperlink" Target="https://www.iata.org/en/programs/environment/sustainable-aviation-fuels/" TargetMode="External"/><Relationship Id="rId28" Type="http://schemas.openxmlformats.org/officeDocument/2006/relationships/hyperlink" Target="https://www.icao.int/environmental-protection/CORSIA/Pages/state-pairs.aspx" TargetMode="External"/><Relationship Id="rId29" Type="http://schemas.openxmlformats.org/officeDocument/2006/relationships/hyperlink" Target="https://theicct.org/publications/" TargetMode="External"/><Relationship Id="rId30" Type="http://schemas.openxmlformats.org/officeDocument/2006/relationships/hyperlink" Target="https://www.iea.org/reports/world-energy-investment-2025" TargetMode="External"/><Relationship Id="rId31" Type="http://schemas.openxmlformats.org/officeDocument/2006/relationships/hyperlink" Target="https://www.iea.org/energy-system/electricity/grid-scale-storage" TargetMode="External"/><Relationship Id="rId32" Type="http://schemas.openxmlformats.org/officeDocument/2006/relationships/hyperlink" Target="https://www.iea.org/reports/renewables-2024" TargetMode="External"/><Relationship Id="rId33" Type="http://schemas.openxmlformats.org/officeDocument/2006/relationships/hyperlink" Target="https://www.iea.org/reports/global-hydrogen-review-2024" TargetMode="External"/><Relationship Id="rId34" Type="http://schemas.openxmlformats.org/officeDocument/2006/relationships/hyperlink" Target="https://co2re.co/FacilityData" TargetMode="External"/><Relationship Id="rId35" Type="http://schemas.openxmlformats.org/officeDocument/2006/relationships/hyperlink" Target="https://www.iea.org/energy-system/industry/cement" TargetMode="External"/><Relationship Id="rId36" Type="http://schemas.openxmlformats.org/officeDocument/2006/relationships/hyperlink" Target="https://www.iea.org/reports/world-energy-outlook-2024" TargetMode="External"/><Relationship Id="rId37" Type="http://schemas.openxmlformats.org/officeDocument/2006/relationships/hyperlink" Target="https://www.iea.org/reports/global-critical-minerals-outlook-2024" TargetMode="External"/><Relationship Id="rId38" Type="http://schemas.openxmlformats.org/officeDocument/2006/relationships/hyperlink" Target="https://www.iea.org/reports/global-critical-minerals-outlook-2024" TargetMode="External"/><Relationship Id="rId39" Type="http://schemas.openxmlformats.org/officeDocument/2006/relationships/hyperlink" Target="https://www.iea.org/reports/world-energy-outlook-2024" TargetMode="External"/><Relationship Id="rId40" Type="http://schemas.openxmlformats.org/officeDocument/2006/relationships/hyperlink" Target="https://www.iea.org/reports/world-energy-outlook-2024" TargetMode="External"/><Relationship Id="rId41" Type="http://schemas.openxmlformats.org/officeDocument/2006/relationships/hyperlink" Target="https://www.iea.org/reports/global-methane-tracker-2025" TargetMode="External"/><Relationship Id="rId42" Type="http://schemas.openxmlformats.org/officeDocument/2006/relationships/hyperlink" Target="https://www.iea.org/reports/world-energy-outlook-2024" TargetMode="External"/><Relationship Id="rId43" Type="http://schemas.openxmlformats.org/officeDocument/2006/relationships/hyperlink" Target="https://www.imo.org/en/OurWork/Environment/Pages/2023-IMO-Strategy-on-Reduction-of-GHG-Emissions-from-Ships.aspx" TargetMode="External"/><Relationship Id="rId44" Type="http://schemas.openxmlformats.org/officeDocument/2006/relationships/hyperlink" Target="https://www.imo.org/en/OurWork/Environment/Pages/2023-IMO-Strategy-on-Reduction-of-GHG-Emissions-from-Ships.aspx" TargetMode="External"/><Relationship Id="rId45" Type="http://schemas.openxmlformats.org/officeDocument/2006/relationships/hyperlink" Target="https://www.irena.org/Publications/2024/Sep/Renewable-Power-Generation-Costs-in-2023" TargetMode="External"/><Relationship Id="rId46" Type="http://schemas.openxmlformats.org/officeDocument/2006/relationships/hyperlink" Target="https://www.lazard.com/research-insights/levelized-cost-of-energyplus/" TargetMode="External"/><Relationship Id="rId47" Type="http://schemas.openxmlformats.org/officeDocument/2006/relationships/hyperlink" Target="https://www.mee.gov.cn/" TargetMode="External"/><Relationship Id="rId48" Type="http://schemas.openxmlformats.org/officeDocument/2006/relationships/hyperlink" Target="https://www.mee.gov.cn/" TargetMode="External"/><Relationship Id="rId49" Type="http://schemas.openxmlformats.org/officeDocument/2006/relationships/hyperlink" Target="https://www.miit.gov.cn/" TargetMode="External"/><Relationship Id="rId50" Type="http://schemas.openxmlformats.org/officeDocument/2006/relationships/hyperlink" Target="https://www.mnr.gov.cn/" TargetMode="External"/><Relationship Id="rId51" Type="http://schemas.openxmlformats.org/officeDocument/2006/relationships/hyperlink" Target="https://missionpossiblepartnership.org/publications/" TargetMode="External"/><Relationship Id="rId52" Type="http://schemas.openxmlformats.org/officeDocument/2006/relationships/hyperlink" Target="https://missionpossiblepartnership.org/publications/" TargetMode="External"/><Relationship Id="rId53" Type="http://schemas.openxmlformats.org/officeDocument/2006/relationships/hyperlink" Target="https://www.mee.gov.cn/" TargetMode="External"/><Relationship Id="rId54" Type="http://schemas.openxmlformats.org/officeDocument/2006/relationships/hyperlink" Target="https://www.nea.gov.cn/" TargetMode="External"/><Relationship Id="rId55" Type="http://schemas.openxmlformats.org/officeDocument/2006/relationships/hyperlink" Target="https://www.ngfs.net/ngfs-scenarios-portal/data-resources/" TargetMode="External"/><Relationship Id="rId56" Type="http://schemas.openxmlformats.org/officeDocument/2006/relationships/hyperlink" Target="https://www.oecd.org/en/topics/sub-issues/steel-market-developments.html" TargetMode="External"/><Relationship Id="rId57" Type="http://schemas.openxmlformats.org/officeDocument/2006/relationships/hyperlink" Target="https://eur-lex.europa.eu/eli/reg/2024/1252/2024-05-03/eng" TargetMode="External"/><Relationship Id="rId58" Type="http://schemas.openxmlformats.org/officeDocument/2006/relationships/hyperlink" Target="https://eur-lex.europa.eu/eli/reg/2024/1252/2024-05-03/eng" TargetMode="External"/><Relationship Id="rId59" Type="http://schemas.openxmlformats.org/officeDocument/2006/relationships/hyperlink" Target="https://eur-lex.europa.eu/eli/reg/2023/2405/oj" TargetMode="External"/><Relationship Id="rId60" Type="http://schemas.openxmlformats.org/officeDocument/2006/relationships/hyperlink" Target="https://eur-lex.europa.eu/eli/dir/2023/959/oj" TargetMode="External"/><Relationship Id="rId61" Type="http://schemas.openxmlformats.org/officeDocument/2006/relationships/hyperlink" Target="https://eur-lex.europa.eu/legal-content/en/LSU/?uri=CELEX%3A32023R1805" TargetMode="External"/><Relationship Id="rId62" Type="http://schemas.openxmlformats.org/officeDocument/2006/relationships/hyperlink" Target="https://eur-lex.europa.eu/eli/reg/2024/1610/oj" TargetMode="External"/><Relationship Id="rId63" Type="http://schemas.openxmlformats.org/officeDocument/2006/relationships/hyperlink" Target="https://eur-lex.europa.eu/eli/reg/2024/1787/oj/eng" TargetMode="External"/><Relationship Id="rId64" Type="http://schemas.openxmlformats.org/officeDocument/2006/relationships/hyperlink" Target="https://www.spglobal.com/marketintelligence/en/sector/metals-mining" TargetMode="External"/><Relationship Id="rId65" Type="http://schemas.openxmlformats.org/officeDocument/2006/relationships/hyperlink" Target="https://www.cneeex.com/" TargetMode="External"/><Relationship Id="rId66" Type="http://schemas.openxmlformats.org/officeDocument/2006/relationships/hyperlink" Target="https://www.energy.gov/oced/industrial-demonstrations-program" TargetMode="External"/><Relationship Id="rId67" Type="http://schemas.openxmlformats.org/officeDocument/2006/relationships/hyperlink" Target="https://afdc.energy.gov/" TargetMode="External"/><Relationship Id="rId68" Type="http://schemas.openxmlformats.org/officeDocument/2006/relationships/hyperlink" Target="https://www.sustainability.gov/buyclean/" TargetMode="External"/><Relationship Id="rId69" Type="http://schemas.openxmlformats.org/officeDocument/2006/relationships/hyperlink" Target="https://www.congress.gov/bill/118th-congress/house-bill/1" TargetMode="External"/><Relationship Id="rId70" Type="http://schemas.openxmlformats.org/officeDocument/2006/relationships/hyperlink" Target="https://www.epa.gov/regulations-emissions-vehicles-and-engines/final-rule-greenhouse-gas-emissions-standards-heavy" TargetMode="External"/><Relationship Id="rId71" Type="http://schemas.openxmlformats.org/officeDocument/2006/relationships/hyperlink" Target="https://www.federalregister.gov/documents/2025/05/19/2025-08688/congressional-review-act-revocation-of-waste-emissions-charge-for-petroleum-and-natural-gas-systems" TargetMode="External"/><Relationship Id="rId72" Type="http://schemas.openxmlformats.org/officeDocument/2006/relationships/hyperlink" Target="https://www.sustainability.gov/buyclean/" TargetMode="External"/><Relationship Id="rId73" Type="http://schemas.openxmlformats.org/officeDocument/2006/relationships/hyperlink" Target="https://www.energy.gov/mesc/30d-new-clean-vehicle-credit" TargetMode="External"/><Relationship Id="rId74" Type="http://schemas.openxmlformats.org/officeDocument/2006/relationships/hyperlink" Target="https://www.ogmpartnership.com/" TargetMode="External"/><Relationship Id="rId75" Type="http://schemas.openxmlformats.org/officeDocument/2006/relationships/hyperlink" Target="https://www.usgs.gov/publications/mineral-commodity-summaries-2025" TargetMode="External"/><Relationship Id="rId76" Type="http://schemas.openxmlformats.org/officeDocument/2006/relationships/hyperlink" Target="https://www.iccsafe.org/" TargetMode="External"/><Relationship Id="rId77" Type="http://schemas.openxmlformats.org/officeDocument/2006/relationships/hyperlink" Target="https://carbonpricingdashboard.worldbank.org/" TargetMode="External"/><Relationship Id="rId78" Type="http://schemas.openxmlformats.org/officeDocument/2006/relationships/hyperlink" Target="https://www.weforum.org/communities/first-movers-coalition/" TargetMode="External"/><Relationship Id="rId79" Type="http://schemas.openxmlformats.org/officeDocument/2006/relationships/hyperlink" Target="https://worldsteel.org/data/world-steel-in-figur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0"/>
    <col collapsed="false" customWidth="true" hidden="false" outlineLevel="0" max="10" min="4" style="0" width="1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8" hidden="false" customHeight="true" outlineLevel="0" collapsed="false">
      <c r="B6" s="4" t="s">
        <v>3</v>
      </c>
      <c r="C6" s="4"/>
      <c r="D6" s="4"/>
      <c r="E6" s="4"/>
      <c r="F6" s="4"/>
      <c r="G6" s="4"/>
      <c r="H6" s="4"/>
      <c r="I6" s="4"/>
      <c r="J6" s="4"/>
    </row>
    <row r="8" customFormat="false" ht="15" hidden="false" customHeight="false" outlineLevel="0" collapsed="false">
      <c r="B8" s="3" t="s">
        <v>4</v>
      </c>
    </row>
    <row r="9" customFormat="false" ht="43.5" hidden="false" customHeight="true" outlineLevel="0" collapsed="false">
      <c r="B9" s="5" t="s">
        <v>5</v>
      </c>
      <c r="C9" s="4" t="s">
        <v>6</v>
      </c>
      <c r="D9" s="4"/>
      <c r="E9" s="4"/>
      <c r="F9" s="4"/>
      <c r="G9" s="4"/>
      <c r="H9" s="4"/>
      <c r="I9" s="4"/>
      <c r="J9" s="4"/>
    </row>
    <row r="10" customFormat="false" ht="43.5" hidden="false" customHeight="true" outlineLevel="0" collapsed="false">
      <c r="B10" s="5" t="s">
        <v>7</v>
      </c>
      <c r="C10" s="4" t="s">
        <v>8</v>
      </c>
      <c r="D10" s="4"/>
      <c r="E10" s="4"/>
      <c r="F10" s="4"/>
      <c r="G10" s="4"/>
      <c r="H10" s="4"/>
      <c r="I10" s="4"/>
      <c r="J10" s="4"/>
    </row>
    <row r="11" customFormat="false" ht="43.5" hidden="false" customHeight="true" outlineLevel="0" collapsed="false">
      <c r="B11" s="5" t="s">
        <v>9</v>
      </c>
      <c r="C11" s="4" t="s">
        <v>10</v>
      </c>
      <c r="D11" s="4"/>
      <c r="E11" s="4"/>
      <c r="F11" s="4"/>
      <c r="G11" s="4"/>
      <c r="H11" s="4"/>
      <c r="I11" s="4"/>
      <c r="J11" s="4"/>
    </row>
    <row r="12" customFormat="false" ht="43.5" hidden="false" customHeight="true" outlineLevel="0" collapsed="false">
      <c r="B12" s="5" t="s">
        <v>11</v>
      </c>
      <c r="C12" s="4" t="s">
        <v>12</v>
      </c>
      <c r="D12" s="4"/>
      <c r="E12" s="4"/>
      <c r="F12" s="4"/>
      <c r="G12" s="4"/>
      <c r="H12" s="4"/>
      <c r="I12" s="4"/>
      <c r="J12" s="4"/>
    </row>
    <row r="14" customFormat="false" ht="15" hidden="false" customHeight="false" outlineLevel="0" collapsed="false">
      <c r="B14" s="3" t="s">
        <v>13</v>
      </c>
    </row>
    <row r="15" customFormat="false" ht="15" hidden="false" customHeight="true" outlineLevel="0" collapsed="false">
      <c r="B15" s="6" t="s">
        <v>14</v>
      </c>
      <c r="C15" s="7" t="s">
        <v>15</v>
      </c>
      <c r="D15" s="7"/>
      <c r="E15" s="7"/>
      <c r="F15" s="7"/>
      <c r="G15" s="7"/>
      <c r="H15" s="7"/>
      <c r="I15" s="7"/>
      <c r="J15" s="7"/>
    </row>
    <row r="16" customFormat="false" ht="15" hidden="false" customHeight="true" outlineLevel="0" collapsed="false">
      <c r="B16" s="8" t="s">
        <v>16</v>
      </c>
      <c r="C16" s="7" t="s">
        <v>17</v>
      </c>
      <c r="D16" s="7"/>
      <c r="E16" s="7"/>
      <c r="F16" s="7"/>
      <c r="G16" s="7"/>
      <c r="H16" s="7"/>
      <c r="I16" s="7"/>
      <c r="J16" s="7"/>
    </row>
    <row r="17" customFormat="false" ht="15" hidden="false" customHeight="true" outlineLevel="0" collapsed="false">
      <c r="B17" s="9" t="s">
        <v>18</v>
      </c>
      <c r="C17" s="7" t="s">
        <v>19</v>
      </c>
      <c r="D17" s="7"/>
      <c r="E17" s="7"/>
      <c r="F17" s="7"/>
      <c r="G17" s="7"/>
      <c r="H17" s="7"/>
      <c r="I17" s="7"/>
      <c r="J17" s="7"/>
    </row>
    <row r="19" customFormat="false" ht="15" hidden="false" customHeight="false" outlineLevel="0" collapsed="false">
      <c r="B19" s="3" t="s">
        <v>20</v>
      </c>
    </row>
    <row r="20" customFormat="false" ht="60" hidden="false" customHeight="true" outlineLevel="0" collapsed="false">
      <c r="B20" s="4" t="s">
        <v>21</v>
      </c>
      <c r="C20" s="4"/>
      <c r="D20" s="4"/>
      <c r="E20" s="4"/>
      <c r="F20" s="4"/>
      <c r="G20" s="4"/>
      <c r="H20" s="4"/>
      <c r="I20" s="4"/>
      <c r="J20" s="4"/>
    </row>
    <row r="22" customFormat="false" ht="15" hidden="false" customHeight="false" outlineLevel="0" collapsed="false">
      <c r="B22" s="3" t="s">
        <v>22</v>
      </c>
    </row>
    <row r="23" customFormat="false" ht="60" hidden="false" customHeight="true" outlineLevel="0" collapsed="false">
      <c r="B23" s="4" t="s">
        <v>23</v>
      </c>
      <c r="C23" s="4"/>
      <c r="D23" s="4"/>
      <c r="E23" s="4"/>
      <c r="F23" s="4"/>
      <c r="G23" s="4"/>
      <c r="H23" s="4"/>
      <c r="I23" s="4"/>
      <c r="J23" s="4"/>
    </row>
    <row r="25" customFormat="false" ht="15" hidden="false" customHeight="false" outlineLevel="0" collapsed="false">
      <c r="B25" s="10" t="s">
        <v>24</v>
      </c>
    </row>
  </sheetData>
  <mergeCells count="10">
    <mergeCell ref="B6:J6"/>
    <mergeCell ref="C9:J9"/>
    <mergeCell ref="C10:J10"/>
    <mergeCell ref="C11:J11"/>
    <mergeCell ref="C12:J12"/>
    <mergeCell ref="C15:J15"/>
    <mergeCell ref="C16:J16"/>
    <mergeCell ref="C17:J17"/>
    <mergeCell ref="B20:J20"/>
    <mergeCell ref="B23:J2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9"/>
    <col collapsed="false" customWidth="true" hidden="false" outlineLevel="0" max="4" min="4" style="0" width="30"/>
    <col collapsed="false" customWidth="true" hidden="false" outlineLevel="0" max="5" min="5" style="0" width="42"/>
    <col collapsed="false" customWidth="true" hidden="false" outlineLevel="0" max="6" min="6" style="0" width="14"/>
    <col collapsed="false" customWidth="true" hidden="false" outlineLevel="0" max="9" min="7" style="0" width="30"/>
    <col collapsed="false" customWidth="true" hidden="false" outlineLevel="0" max="10" min="10" style="0" width="38"/>
    <col collapsed="false" customWidth="true" hidden="false" outlineLevel="0" max="11" min="11" style="0" width="34"/>
  </cols>
  <sheetData>
    <row r="1" customFormat="false" ht="19.7" hidden="false" customHeight="false" outlineLevel="0" collapsed="false">
      <c r="A1" s="1" t="s">
        <v>25</v>
      </c>
      <c r="J1" s="10" t="s">
        <v>26</v>
      </c>
    </row>
    <row r="2" customFormat="false" ht="31.5" hidden="false" customHeight="true" outlineLevel="0" collapsed="false">
      <c r="A2" s="11" t="s">
        <v>27</v>
      </c>
      <c r="B2" s="11" t="s">
        <v>28</v>
      </c>
      <c r="C2" s="11" t="s">
        <v>29</v>
      </c>
      <c r="D2" s="11" t="s">
        <v>30</v>
      </c>
      <c r="E2" s="11" t="s">
        <v>31</v>
      </c>
      <c r="F2" s="11" t="s">
        <v>32</v>
      </c>
      <c r="G2" s="11" t="s">
        <v>33</v>
      </c>
      <c r="H2" s="11" t="s">
        <v>34</v>
      </c>
      <c r="I2" s="11" t="s">
        <v>35</v>
      </c>
      <c r="J2" s="11" t="s">
        <v>36</v>
      </c>
      <c r="K2" s="11" t="s">
        <v>37</v>
      </c>
    </row>
    <row r="3" customFormat="false" ht="61.5" hidden="false" customHeight="true" outlineLevel="0" collapsed="false">
      <c r="A3" s="12" t="s">
        <v>38</v>
      </c>
      <c r="B3" s="13" t="s">
        <v>39</v>
      </c>
      <c r="C3" s="12" t="s">
        <v>40</v>
      </c>
      <c r="D3" s="13" t="s">
        <v>41</v>
      </c>
      <c r="E3" s="13" t="s">
        <v>42</v>
      </c>
      <c r="F3" s="13" t="s">
        <v>43</v>
      </c>
      <c r="G3" s="13" t="s">
        <v>44</v>
      </c>
      <c r="H3" s="13" t="s">
        <v>45</v>
      </c>
      <c r="I3" s="13" t="s">
        <v>46</v>
      </c>
      <c r="J3" s="13" t="s">
        <v>47</v>
      </c>
      <c r="K3" s="14" t="s">
        <v>48</v>
      </c>
    </row>
    <row r="4" customFormat="false" ht="61.5" hidden="false" customHeight="true" outlineLevel="0" collapsed="false">
      <c r="A4" s="12" t="s">
        <v>38</v>
      </c>
      <c r="B4" s="13" t="s">
        <v>39</v>
      </c>
      <c r="C4" s="12" t="s">
        <v>49</v>
      </c>
      <c r="D4" s="13" t="s">
        <v>50</v>
      </c>
      <c r="E4" s="13" t="s">
        <v>51</v>
      </c>
      <c r="F4" s="13" t="s">
        <v>52</v>
      </c>
      <c r="G4" s="13" t="s">
        <v>53</v>
      </c>
      <c r="H4" s="13" t="s">
        <v>54</v>
      </c>
      <c r="I4" s="13" t="s">
        <v>55</v>
      </c>
      <c r="J4" s="13" t="s">
        <v>56</v>
      </c>
      <c r="K4" s="14" t="s">
        <v>57</v>
      </c>
    </row>
    <row r="5" customFormat="false" ht="61.5" hidden="false" customHeight="true" outlineLevel="0" collapsed="false">
      <c r="A5" s="12" t="s">
        <v>38</v>
      </c>
      <c r="B5" s="13" t="s">
        <v>58</v>
      </c>
      <c r="C5" s="12" t="s">
        <v>59</v>
      </c>
      <c r="D5" s="13" t="s">
        <v>60</v>
      </c>
      <c r="E5" s="13" t="s">
        <v>61</v>
      </c>
      <c r="F5" s="13" t="s">
        <v>62</v>
      </c>
      <c r="G5" s="13" t="s">
        <v>63</v>
      </c>
      <c r="H5" s="13" t="s">
        <v>64</v>
      </c>
      <c r="I5" s="13" t="s">
        <v>65</v>
      </c>
      <c r="J5" s="13" t="s">
        <v>66</v>
      </c>
      <c r="K5" s="14" t="s">
        <v>67</v>
      </c>
    </row>
    <row r="6" customFormat="false" ht="61.5" hidden="false" customHeight="true" outlineLevel="0" collapsed="false">
      <c r="A6" s="12" t="s">
        <v>38</v>
      </c>
      <c r="B6" s="13" t="s">
        <v>58</v>
      </c>
      <c r="C6" s="12" t="s">
        <v>68</v>
      </c>
      <c r="D6" s="13" t="s">
        <v>69</v>
      </c>
      <c r="E6" s="13" t="s">
        <v>70</v>
      </c>
      <c r="F6" s="13" t="s">
        <v>71</v>
      </c>
      <c r="G6" s="13" t="s">
        <v>72</v>
      </c>
      <c r="H6" s="13" t="s">
        <v>73</v>
      </c>
      <c r="I6" s="13" t="s">
        <v>74</v>
      </c>
      <c r="J6" s="13" t="s">
        <v>75</v>
      </c>
      <c r="K6" s="14" t="s">
        <v>76</v>
      </c>
    </row>
    <row r="7" customFormat="false" ht="61.5" hidden="false" customHeight="true" outlineLevel="0" collapsed="false">
      <c r="A7" s="12" t="s">
        <v>38</v>
      </c>
      <c r="B7" s="13" t="s">
        <v>77</v>
      </c>
      <c r="C7" s="12" t="s">
        <v>78</v>
      </c>
      <c r="D7" s="13" t="s">
        <v>79</v>
      </c>
      <c r="E7" s="13" t="s">
        <v>80</v>
      </c>
      <c r="F7" s="13" t="s">
        <v>81</v>
      </c>
      <c r="G7" s="13" t="s">
        <v>82</v>
      </c>
      <c r="H7" s="13" t="s">
        <v>83</v>
      </c>
      <c r="I7" s="13" t="s">
        <v>84</v>
      </c>
      <c r="J7" s="13" t="s">
        <v>85</v>
      </c>
      <c r="K7" s="14" t="s">
        <v>86</v>
      </c>
    </row>
    <row r="8" customFormat="false" ht="61.5" hidden="false" customHeight="true" outlineLevel="0" collapsed="false">
      <c r="A8" s="12" t="s">
        <v>87</v>
      </c>
      <c r="B8" s="13" t="s">
        <v>39</v>
      </c>
      <c r="C8" s="12" t="s">
        <v>88</v>
      </c>
      <c r="D8" s="13" t="s">
        <v>89</v>
      </c>
      <c r="E8" s="13" t="s">
        <v>90</v>
      </c>
      <c r="F8" s="13" t="s">
        <v>91</v>
      </c>
      <c r="G8" s="13" t="s">
        <v>92</v>
      </c>
      <c r="H8" s="13" t="s">
        <v>93</v>
      </c>
      <c r="I8" s="13" t="s">
        <v>94</v>
      </c>
      <c r="J8" s="13" t="s">
        <v>95</v>
      </c>
      <c r="K8" s="14" t="s">
        <v>96</v>
      </c>
    </row>
    <row r="9" customFormat="false" ht="61.5" hidden="false" customHeight="true" outlineLevel="0" collapsed="false">
      <c r="A9" s="12" t="s">
        <v>87</v>
      </c>
      <c r="B9" s="13" t="s">
        <v>39</v>
      </c>
      <c r="C9" s="12" t="s">
        <v>97</v>
      </c>
      <c r="D9" s="13" t="s">
        <v>98</v>
      </c>
      <c r="E9" s="13" t="s">
        <v>99</v>
      </c>
      <c r="F9" s="13" t="s">
        <v>100</v>
      </c>
      <c r="G9" s="13" t="s">
        <v>101</v>
      </c>
      <c r="H9" s="13" t="s">
        <v>102</v>
      </c>
      <c r="I9" s="13" t="s">
        <v>103</v>
      </c>
      <c r="J9" s="13" t="s">
        <v>104</v>
      </c>
      <c r="K9" s="14" t="s">
        <v>105</v>
      </c>
    </row>
    <row r="10" customFormat="false" ht="61.5" hidden="false" customHeight="true" outlineLevel="0" collapsed="false">
      <c r="A10" s="12" t="s">
        <v>87</v>
      </c>
      <c r="B10" s="13" t="s">
        <v>58</v>
      </c>
      <c r="C10" s="12" t="s">
        <v>106</v>
      </c>
      <c r="D10" s="13" t="s">
        <v>107</v>
      </c>
      <c r="E10" s="13" t="s">
        <v>108</v>
      </c>
      <c r="F10" s="13" t="s">
        <v>109</v>
      </c>
      <c r="G10" s="13" t="s">
        <v>110</v>
      </c>
      <c r="H10" s="13" t="s">
        <v>111</v>
      </c>
      <c r="I10" s="13" t="s">
        <v>112</v>
      </c>
      <c r="J10" s="13" t="s">
        <v>113</v>
      </c>
      <c r="K10" s="14" t="s">
        <v>114</v>
      </c>
    </row>
    <row r="11" customFormat="false" ht="61.5" hidden="false" customHeight="true" outlineLevel="0" collapsed="false">
      <c r="A11" s="12" t="s">
        <v>87</v>
      </c>
      <c r="B11" s="13" t="s">
        <v>58</v>
      </c>
      <c r="C11" s="12" t="s">
        <v>115</v>
      </c>
      <c r="D11" s="13" t="s">
        <v>116</v>
      </c>
      <c r="E11" s="13" t="s">
        <v>117</v>
      </c>
      <c r="F11" s="13" t="s">
        <v>118</v>
      </c>
      <c r="G11" s="13" t="s">
        <v>119</v>
      </c>
      <c r="H11" s="13" t="s">
        <v>120</v>
      </c>
      <c r="I11" s="13" t="s">
        <v>121</v>
      </c>
      <c r="J11" s="13" t="s">
        <v>122</v>
      </c>
      <c r="K11" s="14" t="s">
        <v>123</v>
      </c>
    </row>
    <row r="12" customFormat="false" ht="61.5" hidden="false" customHeight="true" outlineLevel="0" collapsed="false">
      <c r="A12" s="12" t="s">
        <v>87</v>
      </c>
      <c r="B12" s="13" t="s">
        <v>77</v>
      </c>
      <c r="C12" s="12" t="s">
        <v>124</v>
      </c>
      <c r="D12" s="13" t="s">
        <v>125</v>
      </c>
      <c r="E12" s="13" t="s">
        <v>126</v>
      </c>
      <c r="F12" s="13" t="s">
        <v>127</v>
      </c>
      <c r="G12" s="13" t="s">
        <v>128</v>
      </c>
      <c r="H12" s="13" t="s">
        <v>129</v>
      </c>
      <c r="I12" s="13" t="s">
        <v>130</v>
      </c>
      <c r="J12" s="13" t="s">
        <v>131</v>
      </c>
      <c r="K12" s="14" t="s">
        <v>132</v>
      </c>
    </row>
    <row r="13" customFormat="false" ht="61.5" hidden="false" customHeight="true" outlineLevel="0" collapsed="false">
      <c r="A13" s="12" t="s">
        <v>133</v>
      </c>
      <c r="B13" s="13" t="s">
        <v>39</v>
      </c>
      <c r="C13" s="12" t="s">
        <v>134</v>
      </c>
      <c r="D13" s="13" t="s">
        <v>135</v>
      </c>
      <c r="E13" s="13" t="s">
        <v>136</v>
      </c>
      <c r="F13" s="13" t="s">
        <v>137</v>
      </c>
      <c r="G13" s="13" t="s">
        <v>138</v>
      </c>
      <c r="H13" s="13" t="s">
        <v>139</v>
      </c>
      <c r="I13" s="13" t="s">
        <v>140</v>
      </c>
      <c r="J13" s="13" t="s">
        <v>141</v>
      </c>
      <c r="K13" s="14" t="s">
        <v>142</v>
      </c>
    </row>
    <row r="14" customFormat="false" ht="61.5" hidden="false" customHeight="true" outlineLevel="0" collapsed="false">
      <c r="A14" s="12" t="s">
        <v>133</v>
      </c>
      <c r="B14" s="13" t="s">
        <v>39</v>
      </c>
      <c r="C14" s="12" t="s">
        <v>143</v>
      </c>
      <c r="D14" s="13" t="s">
        <v>144</v>
      </c>
      <c r="E14" s="13" t="s">
        <v>145</v>
      </c>
      <c r="F14" s="13" t="s">
        <v>146</v>
      </c>
      <c r="G14" s="13" t="s">
        <v>147</v>
      </c>
      <c r="H14" s="13" t="s">
        <v>148</v>
      </c>
      <c r="I14" s="13" t="s">
        <v>149</v>
      </c>
      <c r="J14" s="13" t="s">
        <v>150</v>
      </c>
      <c r="K14" s="14" t="s">
        <v>151</v>
      </c>
    </row>
    <row r="15" customFormat="false" ht="61.5" hidden="false" customHeight="true" outlineLevel="0" collapsed="false">
      <c r="A15" s="12" t="s">
        <v>133</v>
      </c>
      <c r="B15" s="13" t="s">
        <v>58</v>
      </c>
      <c r="C15" s="12" t="s">
        <v>152</v>
      </c>
      <c r="D15" s="13" t="s">
        <v>153</v>
      </c>
      <c r="E15" s="13" t="s">
        <v>154</v>
      </c>
      <c r="F15" s="13" t="s">
        <v>109</v>
      </c>
      <c r="G15" s="13" t="s">
        <v>155</v>
      </c>
      <c r="H15" s="13" t="s">
        <v>156</v>
      </c>
      <c r="I15" s="13" t="s">
        <v>157</v>
      </c>
      <c r="J15" s="13" t="s">
        <v>158</v>
      </c>
      <c r="K15" s="14" t="s">
        <v>159</v>
      </c>
    </row>
    <row r="16" customFormat="false" ht="61.5" hidden="false" customHeight="true" outlineLevel="0" collapsed="false">
      <c r="A16" s="12" t="s">
        <v>133</v>
      </c>
      <c r="B16" s="13" t="s">
        <v>58</v>
      </c>
      <c r="C16" s="12" t="s">
        <v>160</v>
      </c>
      <c r="D16" s="13" t="s">
        <v>161</v>
      </c>
      <c r="E16" s="13" t="s">
        <v>162</v>
      </c>
      <c r="F16" s="13" t="s">
        <v>163</v>
      </c>
      <c r="G16" s="13" t="s">
        <v>164</v>
      </c>
      <c r="H16" s="13" t="s">
        <v>165</v>
      </c>
      <c r="I16" s="13" t="s">
        <v>166</v>
      </c>
      <c r="J16" s="13" t="s">
        <v>167</v>
      </c>
      <c r="K16" s="14" t="s">
        <v>168</v>
      </c>
    </row>
    <row r="17" customFormat="false" ht="61.5" hidden="false" customHeight="true" outlineLevel="0" collapsed="false">
      <c r="A17" s="12" t="s">
        <v>133</v>
      </c>
      <c r="B17" s="13" t="s">
        <v>77</v>
      </c>
      <c r="C17" s="12" t="s">
        <v>169</v>
      </c>
      <c r="D17" s="13" t="s">
        <v>170</v>
      </c>
      <c r="E17" s="13" t="s">
        <v>171</v>
      </c>
      <c r="F17" s="13" t="s">
        <v>172</v>
      </c>
      <c r="G17" s="13" t="s">
        <v>173</v>
      </c>
      <c r="H17" s="13" t="s">
        <v>174</v>
      </c>
      <c r="I17" s="13" t="s">
        <v>175</v>
      </c>
      <c r="J17" s="13" t="s">
        <v>176</v>
      </c>
      <c r="K17" s="14" t="s">
        <v>177</v>
      </c>
    </row>
    <row r="18" customFormat="false" ht="61.5" hidden="false" customHeight="true" outlineLevel="0" collapsed="false">
      <c r="A18" s="12" t="s">
        <v>178</v>
      </c>
      <c r="B18" s="13" t="s">
        <v>39</v>
      </c>
      <c r="C18" s="12" t="s">
        <v>179</v>
      </c>
      <c r="D18" s="13" t="s">
        <v>180</v>
      </c>
      <c r="E18" s="13" t="s">
        <v>181</v>
      </c>
      <c r="F18" s="13" t="s">
        <v>182</v>
      </c>
      <c r="G18" s="13" t="s">
        <v>183</v>
      </c>
      <c r="H18" s="13" t="s">
        <v>184</v>
      </c>
      <c r="I18" s="13" t="s">
        <v>185</v>
      </c>
      <c r="J18" s="13" t="s">
        <v>186</v>
      </c>
      <c r="K18" s="14" t="s">
        <v>187</v>
      </c>
    </row>
    <row r="19" customFormat="false" ht="61.5" hidden="false" customHeight="true" outlineLevel="0" collapsed="false">
      <c r="A19" s="12" t="s">
        <v>178</v>
      </c>
      <c r="B19" s="13" t="s">
        <v>39</v>
      </c>
      <c r="C19" s="12" t="s">
        <v>188</v>
      </c>
      <c r="D19" s="13" t="s">
        <v>189</v>
      </c>
      <c r="E19" s="13" t="s">
        <v>190</v>
      </c>
      <c r="F19" s="13" t="s">
        <v>191</v>
      </c>
      <c r="G19" s="13" t="s">
        <v>192</v>
      </c>
      <c r="H19" s="13" t="s">
        <v>193</v>
      </c>
      <c r="I19" s="13" t="s">
        <v>194</v>
      </c>
      <c r="J19" s="13" t="s">
        <v>195</v>
      </c>
      <c r="K19" s="14" t="s">
        <v>196</v>
      </c>
    </row>
    <row r="20" customFormat="false" ht="61.5" hidden="false" customHeight="true" outlineLevel="0" collapsed="false">
      <c r="A20" s="12" t="s">
        <v>178</v>
      </c>
      <c r="B20" s="13" t="s">
        <v>58</v>
      </c>
      <c r="C20" s="12" t="s">
        <v>197</v>
      </c>
      <c r="D20" s="13" t="s">
        <v>198</v>
      </c>
      <c r="E20" s="13" t="s">
        <v>199</v>
      </c>
      <c r="F20" s="13" t="s">
        <v>109</v>
      </c>
      <c r="G20" s="13" t="s">
        <v>200</v>
      </c>
      <c r="H20" s="13" t="s">
        <v>201</v>
      </c>
      <c r="I20" s="13" t="s">
        <v>202</v>
      </c>
      <c r="J20" s="13" t="s">
        <v>203</v>
      </c>
      <c r="K20" s="14" t="s">
        <v>204</v>
      </c>
    </row>
    <row r="21" customFormat="false" ht="61.5" hidden="false" customHeight="true" outlineLevel="0" collapsed="false">
      <c r="A21" s="12" t="s">
        <v>178</v>
      </c>
      <c r="B21" s="13" t="s">
        <v>77</v>
      </c>
      <c r="C21" s="12" t="s">
        <v>205</v>
      </c>
      <c r="D21" s="13" t="s">
        <v>206</v>
      </c>
      <c r="E21" s="13" t="s">
        <v>207</v>
      </c>
      <c r="F21" s="13" t="s">
        <v>208</v>
      </c>
      <c r="G21" s="13" t="s">
        <v>209</v>
      </c>
      <c r="H21" s="13" t="s">
        <v>210</v>
      </c>
      <c r="I21" s="13" t="s">
        <v>211</v>
      </c>
      <c r="J21" s="13" t="s">
        <v>212</v>
      </c>
      <c r="K21" s="14" t="s">
        <v>213</v>
      </c>
    </row>
    <row r="22" customFormat="false" ht="61.5" hidden="false" customHeight="true" outlineLevel="0" collapsed="false">
      <c r="A22" s="12" t="s">
        <v>214</v>
      </c>
      <c r="B22" s="13" t="s">
        <v>39</v>
      </c>
      <c r="C22" s="12" t="s">
        <v>215</v>
      </c>
      <c r="D22" s="13" t="s">
        <v>216</v>
      </c>
      <c r="E22" s="13" t="s">
        <v>217</v>
      </c>
      <c r="F22" s="13" t="s">
        <v>218</v>
      </c>
      <c r="G22" s="13" t="s">
        <v>219</v>
      </c>
      <c r="H22" s="13" t="s">
        <v>220</v>
      </c>
      <c r="I22" s="13" t="s">
        <v>221</v>
      </c>
      <c r="J22" s="13" t="s">
        <v>222</v>
      </c>
      <c r="K22" s="14" t="s">
        <v>223</v>
      </c>
    </row>
    <row r="23" customFormat="false" ht="61.5" hidden="false" customHeight="true" outlineLevel="0" collapsed="false">
      <c r="A23" s="12" t="s">
        <v>214</v>
      </c>
      <c r="B23" s="13" t="s">
        <v>58</v>
      </c>
      <c r="C23" s="12" t="s">
        <v>224</v>
      </c>
      <c r="D23" s="13" t="s">
        <v>225</v>
      </c>
      <c r="E23" s="13" t="s">
        <v>226</v>
      </c>
      <c r="F23" s="13" t="s">
        <v>227</v>
      </c>
      <c r="G23" s="13" t="s">
        <v>228</v>
      </c>
      <c r="H23" s="13" t="s">
        <v>229</v>
      </c>
      <c r="I23" s="13" t="s">
        <v>230</v>
      </c>
      <c r="J23" s="13" t="s">
        <v>231</v>
      </c>
      <c r="K23" s="14" t="s">
        <v>232</v>
      </c>
    </row>
    <row r="24" customFormat="false" ht="61.5" hidden="false" customHeight="true" outlineLevel="0" collapsed="false">
      <c r="A24" s="12" t="s">
        <v>214</v>
      </c>
      <c r="B24" s="13" t="s">
        <v>58</v>
      </c>
      <c r="C24" s="12" t="s">
        <v>233</v>
      </c>
      <c r="D24" s="13" t="s">
        <v>234</v>
      </c>
      <c r="E24" s="13" t="s">
        <v>235</v>
      </c>
      <c r="F24" s="13" t="s">
        <v>236</v>
      </c>
      <c r="G24" s="13" t="s">
        <v>237</v>
      </c>
      <c r="H24" s="13" t="s">
        <v>238</v>
      </c>
      <c r="I24" s="13" t="s">
        <v>239</v>
      </c>
      <c r="J24" s="13" t="s">
        <v>240</v>
      </c>
      <c r="K24" s="14" t="s">
        <v>241</v>
      </c>
    </row>
    <row r="25" customFormat="false" ht="61.5" hidden="false" customHeight="true" outlineLevel="0" collapsed="false">
      <c r="A25" s="12" t="s">
        <v>214</v>
      </c>
      <c r="B25" s="13" t="s">
        <v>77</v>
      </c>
      <c r="C25" s="12" t="s">
        <v>242</v>
      </c>
      <c r="D25" s="13" t="s">
        <v>243</v>
      </c>
      <c r="E25" s="13" t="s">
        <v>244</v>
      </c>
      <c r="F25" s="13" t="s">
        <v>245</v>
      </c>
      <c r="G25" s="13" t="s">
        <v>246</v>
      </c>
      <c r="H25" s="13" t="s">
        <v>247</v>
      </c>
      <c r="I25" s="13" t="s">
        <v>248</v>
      </c>
      <c r="J25" s="13" t="s">
        <v>249</v>
      </c>
      <c r="K25" s="14" t="s">
        <v>250</v>
      </c>
    </row>
    <row r="26" customFormat="false" ht="61.5" hidden="false" customHeight="true" outlineLevel="0" collapsed="false">
      <c r="A26" s="12" t="s">
        <v>251</v>
      </c>
      <c r="B26" s="13" t="s">
        <v>39</v>
      </c>
      <c r="C26" s="12" t="s">
        <v>252</v>
      </c>
      <c r="D26" s="13" t="s">
        <v>253</v>
      </c>
      <c r="E26" s="13" t="s">
        <v>254</v>
      </c>
      <c r="F26" s="13" t="s">
        <v>255</v>
      </c>
      <c r="G26" s="13" t="s">
        <v>256</v>
      </c>
      <c r="H26" s="13" t="s">
        <v>257</v>
      </c>
      <c r="I26" s="13" t="s">
        <v>258</v>
      </c>
      <c r="J26" s="13" t="s">
        <v>259</v>
      </c>
      <c r="K26" s="14" t="s">
        <v>260</v>
      </c>
    </row>
    <row r="27" customFormat="false" ht="61.5" hidden="false" customHeight="true" outlineLevel="0" collapsed="false">
      <c r="A27" s="12" t="s">
        <v>251</v>
      </c>
      <c r="B27" s="13" t="s">
        <v>58</v>
      </c>
      <c r="C27" s="12" t="s">
        <v>261</v>
      </c>
      <c r="D27" s="13" t="s">
        <v>262</v>
      </c>
      <c r="E27" s="13" t="s">
        <v>263</v>
      </c>
      <c r="F27" s="13" t="s">
        <v>264</v>
      </c>
      <c r="G27" s="13" t="s">
        <v>265</v>
      </c>
      <c r="H27" s="13" t="s">
        <v>266</v>
      </c>
      <c r="I27" s="13" t="s">
        <v>267</v>
      </c>
      <c r="J27" s="13" t="s">
        <v>268</v>
      </c>
      <c r="K27" s="14" t="s">
        <v>269</v>
      </c>
    </row>
    <row r="28" customFormat="false" ht="61.5" hidden="false" customHeight="true" outlineLevel="0" collapsed="false">
      <c r="A28" s="12" t="s">
        <v>251</v>
      </c>
      <c r="B28" s="13" t="s">
        <v>77</v>
      </c>
      <c r="C28" s="12" t="s">
        <v>270</v>
      </c>
      <c r="D28" s="13" t="s">
        <v>271</v>
      </c>
      <c r="E28" s="13" t="s">
        <v>272</v>
      </c>
      <c r="F28" s="13" t="s">
        <v>273</v>
      </c>
      <c r="G28" s="13" t="s">
        <v>274</v>
      </c>
      <c r="H28" s="13" t="s">
        <v>275</v>
      </c>
      <c r="I28" s="13" t="s">
        <v>276</v>
      </c>
      <c r="J28" s="13" t="s">
        <v>277</v>
      </c>
      <c r="K28" s="14" t="s">
        <v>278</v>
      </c>
    </row>
    <row r="29" customFormat="false" ht="61.5" hidden="false" customHeight="true" outlineLevel="0" collapsed="false">
      <c r="A29" s="12" t="s">
        <v>279</v>
      </c>
      <c r="B29" s="13" t="s">
        <v>39</v>
      </c>
      <c r="C29" s="12" t="s">
        <v>280</v>
      </c>
      <c r="D29" s="13" t="s">
        <v>281</v>
      </c>
      <c r="E29" s="13" t="s">
        <v>282</v>
      </c>
      <c r="F29" s="13" t="s">
        <v>283</v>
      </c>
      <c r="G29" s="13" t="s">
        <v>284</v>
      </c>
      <c r="H29" s="13" t="s">
        <v>285</v>
      </c>
      <c r="I29" s="13" t="s">
        <v>286</v>
      </c>
      <c r="J29" s="13" t="s">
        <v>287</v>
      </c>
      <c r="K29" s="14" t="s">
        <v>288</v>
      </c>
    </row>
    <row r="30" customFormat="false" ht="61.5" hidden="false" customHeight="true" outlineLevel="0" collapsed="false">
      <c r="A30" s="12" t="s">
        <v>279</v>
      </c>
      <c r="B30" s="13" t="s">
        <v>58</v>
      </c>
      <c r="C30" s="12" t="s">
        <v>289</v>
      </c>
      <c r="D30" s="13" t="s">
        <v>290</v>
      </c>
      <c r="E30" s="13" t="s">
        <v>291</v>
      </c>
      <c r="F30" s="13" t="s">
        <v>292</v>
      </c>
      <c r="G30" s="13" t="s">
        <v>293</v>
      </c>
      <c r="H30" s="13" t="s">
        <v>294</v>
      </c>
      <c r="I30" s="13" t="s">
        <v>295</v>
      </c>
      <c r="J30" s="13" t="s">
        <v>296</v>
      </c>
      <c r="K30" s="14" t="s">
        <v>297</v>
      </c>
    </row>
    <row r="31" customFormat="false" ht="61.5" hidden="false" customHeight="true" outlineLevel="0" collapsed="false">
      <c r="A31" s="12" t="s">
        <v>279</v>
      </c>
      <c r="B31" s="13" t="s">
        <v>77</v>
      </c>
      <c r="C31" s="12" t="s">
        <v>298</v>
      </c>
      <c r="D31" s="13" t="s">
        <v>299</v>
      </c>
      <c r="E31" s="13" t="s">
        <v>300</v>
      </c>
      <c r="F31" s="13" t="s">
        <v>301</v>
      </c>
      <c r="G31" s="13" t="s">
        <v>302</v>
      </c>
      <c r="H31" s="13" t="s">
        <v>303</v>
      </c>
      <c r="I31" s="13" t="s">
        <v>304</v>
      </c>
      <c r="J31" s="13" t="s">
        <v>305</v>
      </c>
      <c r="K31" s="14" t="s">
        <v>306</v>
      </c>
    </row>
    <row r="32" customFormat="false" ht="61.5" hidden="false" customHeight="true" outlineLevel="0" collapsed="false">
      <c r="A32" s="12" t="s">
        <v>307</v>
      </c>
      <c r="B32" s="13" t="s">
        <v>39</v>
      </c>
      <c r="C32" s="12" t="s">
        <v>308</v>
      </c>
      <c r="D32" s="13" t="s">
        <v>309</v>
      </c>
      <c r="E32" s="13" t="s">
        <v>310</v>
      </c>
      <c r="F32" s="13" t="s">
        <v>311</v>
      </c>
      <c r="G32" s="13" t="s">
        <v>312</v>
      </c>
      <c r="H32" s="13" t="s">
        <v>313</v>
      </c>
      <c r="I32" s="13" t="s">
        <v>314</v>
      </c>
      <c r="J32" s="13" t="s">
        <v>315</v>
      </c>
      <c r="K32" s="14" t="s">
        <v>316</v>
      </c>
    </row>
    <row r="33" customFormat="false" ht="61.5" hidden="false" customHeight="true" outlineLevel="0" collapsed="false">
      <c r="A33" s="12" t="s">
        <v>307</v>
      </c>
      <c r="B33" s="13" t="s">
        <v>58</v>
      </c>
      <c r="C33" s="12" t="s">
        <v>317</v>
      </c>
      <c r="D33" s="13" t="s">
        <v>318</v>
      </c>
      <c r="E33" s="13" t="s">
        <v>319</v>
      </c>
      <c r="F33" s="13" t="s">
        <v>320</v>
      </c>
      <c r="G33" s="13" t="s">
        <v>321</v>
      </c>
      <c r="H33" s="13" t="s">
        <v>322</v>
      </c>
      <c r="I33" s="13" t="s">
        <v>323</v>
      </c>
      <c r="J33" s="13" t="s">
        <v>324</v>
      </c>
      <c r="K33" s="14" t="s">
        <v>325</v>
      </c>
    </row>
    <row r="34" customFormat="false" ht="61.5" hidden="false" customHeight="true" outlineLevel="0" collapsed="false">
      <c r="A34" s="12" t="s">
        <v>307</v>
      </c>
      <c r="B34" s="13" t="s">
        <v>77</v>
      </c>
      <c r="C34" s="12" t="s">
        <v>326</v>
      </c>
      <c r="D34" s="13" t="s">
        <v>327</v>
      </c>
      <c r="E34" s="13" t="s">
        <v>328</v>
      </c>
      <c r="F34" s="13" t="s">
        <v>329</v>
      </c>
      <c r="G34" s="13" t="s">
        <v>330</v>
      </c>
      <c r="H34" s="13" t="s">
        <v>331</v>
      </c>
      <c r="I34" s="13" t="s">
        <v>332</v>
      </c>
      <c r="J34" s="13" t="s">
        <v>333</v>
      </c>
      <c r="K34" s="14" t="s">
        <v>334</v>
      </c>
    </row>
    <row r="35" customFormat="false" ht="61.5" hidden="false" customHeight="true" outlineLevel="0" collapsed="false">
      <c r="A35" s="12" t="s">
        <v>335</v>
      </c>
      <c r="B35" s="13" t="s">
        <v>39</v>
      </c>
      <c r="C35" s="12" t="s">
        <v>336</v>
      </c>
      <c r="D35" s="13" t="s">
        <v>337</v>
      </c>
      <c r="E35" s="13" t="s">
        <v>338</v>
      </c>
      <c r="F35" s="13" t="s">
        <v>339</v>
      </c>
      <c r="G35" s="13" t="s">
        <v>340</v>
      </c>
      <c r="H35" s="13" t="s">
        <v>341</v>
      </c>
      <c r="I35" s="13" t="s">
        <v>342</v>
      </c>
      <c r="J35" s="13" t="s">
        <v>343</v>
      </c>
      <c r="K35" s="14" t="s">
        <v>344</v>
      </c>
    </row>
    <row r="36" customFormat="false" ht="61.5" hidden="false" customHeight="true" outlineLevel="0" collapsed="false">
      <c r="A36" s="12" t="s">
        <v>335</v>
      </c>
      <c r="B36" s="13" t="s">
        <v>58</v>
      </c>
      <c r="C36" s="12" t="s">
        <v>345</v>
      </c>
      <c r="D36" s="13" t="s">
        <v>346</v>
      </c>
      <c r="E36" s="13" t="s">
        <v>347</v>
      </c>
      <c r="F36" s="13" t="s">
        <v>348</v>
      </c>
      <c r="G36" s="13" t="s">
        <v>349</v>
      </c>
      <c r="H36" s="13" t="s">
        <v>350</v>
      </c>
      <c r="I36" s="13" t="s">
        <v>351</v>
      </c>
      <c r="J36" s="13" t="s">
        <v>352</v>
      </c>
      <c r="K36" s="14" t="s">
        <v>353</v>
      </c>
    </row>
    <row r="37" customFormat="false" ht="61.5" hidden="false" customHeight="true" outlineLevel="0" collapsed="false">
      <c r="A37" s="12" t="s">
        <v>335</v>
      </c>
      <c r="B37" s="13" t="s">
        <v>77</v>
      </c>
      <c r="C37" s="12" t="s">
        <v>354</v>
      </c>
      <c r="D37" s="13" t="s">
        <v>355</v>
      </c>
      <c r="E37" s="13" t="s">
        <v>356</v>
      </c>
      <c r="F37" s="13" t="s">
        <v>357</v>
      </c>
      <c r="G37" s="13" t="s">
        <v>358</v>
      </c>
      <c r="H37" s="13" t="s">
        <v>359</v>
      </c>
      <c r="I37" s="13" t="s">
        <v>360</v>
      </c>
      <c r="J37" s="13" t="s">
        <v>361</v>
      </c>
      <c r="K37" s="14" t="s">
        <v>196</v>
      </c>
    </row>
  </sheetData>
  <hyperlinks>
    <hyperlink ref="K3" r:id="rId1" display="https://www.iea.org/reports/world-energy-investment-2025&#10;https://www.irena.org/Publications/2024/Sep/Renewable-Power-Generation-Costs-in-2023&#10;https://www.lazard.com/research-insights/levelized-cost-of-energyplus/"/>
    <hyperlink ref="K4" r:id="rId2" display="https://www.iea.org/energy-system/electricity/grid-scale-storage&#10;https://about.bnef.com/"/>
    <hyperlink ref="K5" r:id="rId3" display="https://www.eex.com/en/market-data/environmental-markets/spot-market&#10;https://carbonpricingdashboard.worldbank.org/&#10;https://www.cneeex.com/&#10;https://www.ngfs.net/ngfs-scenarios-portal/data-resources/"/>
    <hyperlink ref="K6" r:id="rId4" display="https://eur-lex.europa.eu/eli/dir/2018/2001/oj&#10;https://www.iea.org/reports/renewables-2024&#10;https://www.nea.gov.cn/"/>
    <hyperlink ref="K7" r:id="rId5" display="https://about.bnef.com/&#10;https://www.there100.org/re100-progress-and-insights-annual-report"/>
    <hyperlink ref="K8" r:id="rId6" display="https://www.iea.org/reports/global-hydrogen-review-2024&#10;https://missionpossiblepartnership.org/publications/&#10;https://about.bnef.com/&#10;https://www.energy-transitions.org/publications/mission-possible/"/>
    <hyperlink ref="K9" r:id="rId7" display="https://worldsteel.org/data/world-steel-in-figures/&#10;https://www.oecd.org/en/topics/sub-issues/steel-market-developments.html"/>
    <hyperlink ref="K10" r:id="rId8" display="https://eur-lex.europa.eu/eli/reg/2023/956/oj/eng&#10;https://eur-lex.europa.eu/eli/reg_impl/2021/447/2026-03-18/eng&#10;https://www.mee.gov.cn/&#10;https://www.ngfs.net/ngfs-scenarios-portal/data-resources/"/>
    <hyperlink ref="K11" r:id="rId9" display="https://green-business.ec.europa.eu/green-public-procurement_en&#10;https://www.sustainability.gov/buyclean/&#10;https://www.iccsafe.org/"/>
    <hyperlink ref="K12" r:id="rId10" display="https://about.bnef.com/&#10;https://missionpossiblepartnership.org/publications/"/>
    <hyperlink ref="K13" r:id="rId11" display="https://co2re.co/FacilityData&#10;https://co2re.co/FacilityData&#10;https://www.energy-transitions.org/publications/mission-possible/"/>
    <hyperlink ref="K14" r:id="rId12" display="https://gccassociation.org/sustainability-innovation/gnr-gcca-in-numbers/&#10;https://www.iea.org/energy-system/industry/cement"/>
    <hyperlink ref="K15" r:id="rId13" display="https://eur-lex.europa.eu/eli/reg/2023/956/oj/eng&#10;https://eur-lex.europa.eu/eli/reg_impl/2021/447/2026-03-18/eng&#10;https://www.ngfs.net/ngfs-scenarios-portal/data-resources/"/>
    <hyperlink ref="K16" r:id="rId14" display="https://cinea.ec.europa.eu/programmes/innovation-fund_en&#10;https://www.energy.gov/oced/industrial-demonstrations-program&#10;https://www.mee.gov.cn/"/>
    <hyperlink ref="K17" r:id="rId15" display="https://green-business.ec.europa.eu/green-public-procurement_en&#10;https://www.weforum.org/communities/first-movers-coalition/"/>
    <hyperlink ref="K18" r:id="rId16" display="https://www.iea.org/reports/global-hydrogen-review-2024&#10;https://www.iea.org/reports/world-energy-outlook-2024&#10;https://www.energy-transitions.org/publications/mission-possible/"/>
    <hyperlink ref="K19" r:id="rId17" display="https://www.iea.org/reports/world-energy-outlook-2024"/>
    <hyperlink ref="K20" r:id="rId18" display="https://eur-lex.europa.eu/eli/reg_impl/2021/447/2026-03-18/eng&#10;https://eur-lex.europa.eu/eli/reg/2023/956/oj/eng&#10;https://www.ngfs.net/ngfs-scenarios-portal/data-resources/"/>
    <hyperlink ref="K21" r:id="rId19" display="https://www.imo.org/en/OurWork/Environment/Pages/2023-IMO-Strategy-on-Reduction-of-GHG-Emissions-from-Ships.aspx"/>
    <hyperlink ref="K22" r:id="rId20" display="https://www.iea.org/reports/global-critical-minerals-outlook-2024&#10;https://www.spglobal.com/marketintelligence/en/sector/metals-mining"/>
    <hyperlink ref="K23" r:id="rId21" display="https://eur-lex.europa.eu/eli/reg/2024/1252/2024-05-03/eng&#10;https://www.congress.gov/bill/118th-congress/house-bill/1&#10;https://www.mnr.gov.cn/"/>
    <hyperlink ref="K24" r:id="rId22" display="https://www.energy.gov/mesc/30d-new-clean-vehicle-credit&#10;https://eur-lex.europa.eu/eli/reg/2024/1252/2024-05-03/eng"/>
    <hyperlink ref="K25" r:id="rId23" display="https://www.iea.org/reports/global-critical-minerals-outlook-2024&#10;https://www.usgs.gov/publications/mineral-commodity-summaries-2025"/>
    <hyperlink ref="K26" r:id="rId24" display="https://www.iata.org/en/iata-repository/publications/economic-reports/sustainable-aviation-fuel-fact-sheet/&#10;https://www.iea.org/reports/world-energy-outlook-2024&#10;https://www.energy-transitions.org/publications/mission-possible/"/>
    <hyperlink ref="K27" r:id="rId25" display="https://eur-lex.europa.eu/eli/reg/2023/2405/oj&#10;https://www.sustainability.gov/buyclean/&#10;https://www.icao.int/environmental-protection/CORSIA/Pages/state-pairs.aspx"/>
    <hyperlink ref="K28" r:id="rId26" display="https://www.iata.org/en/programs/environment/sustainable-aviation-fuels/"/>
    <hyperlink ref="K29" r:id="rId27" display="https://www.clarksons.net/wfr/&#10;https://afi.dnv.com/&#10;https://www.energy-transitions.org/publications/mission-possible/"/>
    <hyperlink ref="K30" r:id="rId28" display="https://eur-lex.europa.eu/eli/dir/2023/959/oj&#10;https://eur-lex.europa.eu/legal-content/en/LSU/?uri=CELEX%3A32023R1805&#10;https://www.imo.org/en/OurWork/Environment/Pages/2023-IMO-Strategy-on-Reduction-of-GHG-Emissions-from-Ships.aspx"/>
    <hyperlink ref="K31" r:id="rId29" display="https://www.globalmaritimeforum.org/green-corridors"/>
    <hyperlink ref="K32" r:id="rId30" display="https://www.iea.org/reports/world-energy-outlook-2024&#10;https://theicct.org/publications/"/>
    <hyperlink ref="K33" r:id="rId31" display="https://eur-lex.europa.eu/eli/reg/2024/1610/oj&#10;https://www.epa.gov/regulations-emissions-vehicles-and-engines/final-rule-greenhouse-gas-emissions-standards-heavy&#10;https://ww2.arb.ca.gov/our-work/programs/advanced-clean-fleets&#10;https://www.miit.gov.cn/"/>
    <hyperlink ref="K34" r:id="rId32" display="https://eur-lex.europa.eu/eli/reg/2023/1804/2026-01-08/eng&#10;https://afdc.energy.gov/&#10;http://www.evcipa.org.cn/"/>
    <hyperlink ref="K35" r:id="rId33" display="https://www.iea.org/reports/global-methane-tracker-2025&#10;https://www.ogmpartnership.com/"/>
    <hyperlink ref="K36" r:id="rId34" display="https://eur-lex.europa.eu/eli/reg/2024/1787/oj/eng&#10;https://www.federalregister.gov/documents/2025/05/19/2025-08688/congressional-review-act-revocation-of-waste-emissions-charge-for-petroleum-and-natural-gas-systems&#10;https://www.mee.gov.cn/"/>
    <hyperlink ref="K37" r:id="rId35" display="https://www.iea.org/reports/world-energy-outlook-2024"/>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2"/>
    <col collapsed="false" customWidth="true" hidden="false" outlineLevel="0" max="4" min="4" style="0" width="20"/>
    <col collapsed="false" customWidth="true" hidden="false" outlineLevel="0" max="5" min="5" style="0" width="30"/>
    <col collapsed="false" customWidth="true" hidden="false" outlineLevel="0" max="6" min="6" style="0" width="46"/>
    <col collapsed="false" customWidth="true" hidden="false" outlineLevel="0" max="7" min="7" style="0" width="34"/>
  </cols>
  <sheetData>
    <row r="1" customFormat="false" ht="19.7" hidden="false" customHeight="false" outlineLevel="0" collapsed="false">
      <c r="A1" s="1" t="s">
        <v>362</v>
      </c>
      <c r="E1" s="10" t="s">
        <v>363</v>
      </c>
    </row>
    <row r="2" customFormat="false" ht="31.5" hidden="false" customHeight="true" outlineLevel="0" collapsed="false">
      <c r="A2" s="11" t="s">
        <v>364</v>
      </c>
      <c r="B2" s="11" t="s">
        <v>365</v>
      </c>
      <c r="C2" s="11" t="s">
        <v>366</v>
      </c>
      <c r="D2" s="11" t="s">
        <v>367</v>
      </c>
      <c r="E2" s="11" t="s">
        <v>368</v>
      </c>
      <c r="F2" s="11" t="s">
        <v>369</v>
      </c>
      <c r="G2" s="11" t="s">
        <v>370</v>
      </c>
    </row>
    <row r="3" customFormat="false" ht="48" hidden="false" customHeight="true" outlineLevel="0" collapsed="false">
      <c r="A3" s="12" t="s">
        <v>371</v>
      </c>
      <c r="B3" s="13" t="s">
        <v>372</v>
      </c>
      <c r="C3" s="15" t="s">
        <v>270</v>
      </c>
      <c r="D3" s="16" t="s">
        <v>373</v>
      </c>
      <c r="E3" s="17" t="s">
        <v>374</v>
      </c>
      <c r="F3" s="13" t="s">
        <v>375</v>
      </c>
      <c r="G3" s="18" t="s">
        <v>376</v>
      </c>
    </row>
    <row r="4" customFormat="false" ht="48" hidden="false" customHeight="true" outlineLevel="0" collapsed="false">
      <c r="A4" s="12" t="s">
        <v>377</v>
      </c>
      <c r="B4" s="13" t="s">
        <v>378</v>
      </c>
      <c r="C4" s="15" t="s">
        <v>49</v>
      </c>
      <c r="D4" s="19" t="s">
        <v>379</v>
      </c>
      <c r="E4" s="17" t="s">
        <v>380</v>
      </c>
      <c r="F4" s="13" t="s">
        <v>381</v>
      </c>
      <c r="G4" s="14" t="s">
        <v>382</v>
      </c>
    </row>
    <row r="5" customFormat="false" ht="48" hidden="false" customHeight="true" outlineLevel="0" collapsed="false">
      <c r="A5" s="12" t="s">
        <v>383</v>
      </c>
      <c r="B5" s="13" t="s">
        <v>378</v>
      </c>
      <c r="C5" s="15" t="s">
        <v>78</v>
      </c>
      <c r="D5" s="19" t="s">
        <v>379</v>
      </c>
      <c r="E5" s="17" t="s">
        <v>380</v>
      </c>
      <c r="F5" s="13" t="s">
        <v>381</v>
      </c>
      <c r="G5" s="14" t="s">
        <v>382</v>
      </c>
    </row>
    <row r="6" customFormat="false" ht="48" hidden="false" customHeight="true" outlineLevel="0" collapsed="false">
      <c r="A6" s="12" t="s">
        <v>384</v>
      </c>
      <c r="B6" s="13" t="s">
        <v>378</v>
      </c>
      <c r="C6" s="15" t="s">
        <v>88</v>
      </c>
      <c r="D6" s="19" t="s">
        <v>379</v>
      </c>
      <c r="E6" s="17" t="s">
        <v>380</v>
      </c>
      <c r="F6" s="13" t="s">
        <v>381</v>
      </c>
      <c r="G6" s="14" t="s">
        <v>382</v>
      </c>
    </row>
    <row r="7" customFormat="false" ht="48" hidden="false" customHeight="true" outlineLevel="0" collapsed="false">
      <c r="A7" s="12" t="s">
        <v>385</v>
      </c>
      <c r="B7" s="13" t="s">
        <v>378</v>
      </c>
      <c r="C7" s="15" t="s">
        <v>124</v>
      </c>
      <c r="D7" s="19" t="s">
        <v>379</v>
      </c>
      <c r="E7" s="17" t="s">
        <v>380</v>
      </c>
      <c r="F7" s="13" t="s">
        <v>381</v>
      </c>
      <c r="G7" s="14" t="s">
        <v>382</v>
      </c>
    </row>
    <row r="8" customFormat="false" ht="48" hidden="false" customHeight="true" outlineLevel="0" collapsed="false">
      <c r="A8" s="12" t="s">
        <v>386</v>
      </c>
      <c r="B8" s="13" t="s">
        <v>387</v>
      </c>
      <c r="C8" s="15" t="s">
        <v>317</v>
      </c>
      <c r="D8" s="20" t="s">
        <v>388</v>
      </c>
      <c r="E8" s="17" t="s">
        <v>389</v>
      </c>
      <c r="F8" s="13" t="s">
        <v>390</v>
      </c>
      <c r="G8" s="14" t="s">
        <v>391</v>
      </c>
    </row>
    <row r="9" customFormat="false" ht="48" hidden="false" customHeight="true" outlineLevel="0" collapsed="false">
      <c r="A9" s="12" t="s">
        <v>392</v>
      </c>
      <c r="B9" s="13" t="s">
        <v>393</v>
      </c>
      <c r="C9" s="15" t="s">
        <v>326</v>
      </c>
      <c r="D9" s="21" t="s">
        <v>394</v>
      </c>
      <c r="E9" s="17" t="s">
        <v>395</v>
      </c>
      <c r="F9" s="13" t="s">
        <v>396</v>
      </c>
      <c r="G9" s="14" t="s">
        <v>397</v>
      </c>
    </row>
    <row r="10" customFormat="false" ht="48" hidden="false" customHeight="true" outlineLevel="0" collapsed="false">
      <c r="A10" s="12" t="s">
        <v>398</v>
      </c>
      <c r="B10" s="13" t="s">
        <v>399</v>
      </c>
      <c r="C10" s="15" t="s">
        <v>280</v>
      </c>
      <c r="D10" s="21" t="s">
        <v>394</v>
      </c>
      <c r="E10" s="17" t="s">
        <v>400</v>
      </c>
      <c r="F10" s="13" t="s">
        <v>401</v>
      </c>
      <c r="G10" s="14" t="s">
        <v>402</v>
      </c>
    </row>
    <row r="11" customFormat="false" ht="48" hidden="false" customHeight="true" outlineLevel="0" collapsed="false">
      <c r="A11" s="12" t="s">
        <v>403</v>
      </c>
      <c r="B11" s="13" t="s">
        <v>404</v>
      </c>
      <c r="C11" s="15" t="s">
        <v>78</v>
      </c>
      <c r="D11" s="19" t="s">
        <v>379</v>
      </c>
      <c r="E11" s="17" t="s">
        <v>405</v>
      </c>
      <c r="F11" s="13" t="s">
        <v>406</v>
      </c>
      <c r="G11" s="14" t="s">
        <v>407</v>
      </c>
    </row>
    <row r="12" customFormat="false" ht="48" hidden="false" customHeight="true" outlineLevel="0" collapsed="false">
      <c r="A12" s="12" t="s">
        <v>408</v>
      </c>
      <c r="B12" s="13" t="s">
        <v>409</v>
      </c>
      <c r="C12" s="15" t="s">
        <v>280</v>
      </c>
      <c r="D12" s="21" t="s">
        <v>394</v>
      </c>
      <c r="E12" s="17" t="s">
        <v>410</v>
      </c>
      <c r="F12" s="13" t="s">
        <v>411</v>
      </c>
      <c r="G12" s="14" t="s">
        <v>412</v>
      </c>
    </row>
    <row r="13" customFormat="false" ht="48" hidden="false" customHeight="true" outlineLevel="0" collapsed="false">
      <c r="A13" s="12" t="s">
        <v>413</v>
      </c>
      <c r="B13" s="13" t="s">
        <v>414</v>
      </c>
      <c r="C13" s="15" t="s">
        <v>415</v>
      </c>
      <c r="D13" s="19" t="s">
        <v>379</v>
      </c>
      <c r="E13" s="17" t="s">
        <v>416</v>
      </c>
      <c r="F13" s="13" t="s">
        <v>417</v>
      </c>
      <c r="G13" s="14" t="s">
        <v>418</v>
      </c>
    </row>
    <row r="14" customFormat="false" ht="48" hidden="false" customHeight="true" outlineLevel="0" collapsed="false">
      <c r="A14" s="12" t="s">
        <v>419</v>
      </c>
      <c r="B14" s="13" t="s">
        <v>420</v>
      </c>
      <c r="C14" s="15" t="s">
        <v>160</v>
      </c>
      <c r="D14" s="20" t="s">
        <v>388</v>
      </c>
      <c r="E14" s="17" t="s">
        <v>421</v>
      </c>
      <c r="F14" s="13" t="s">
        <v>422</v>
      </c>
      <c r="G14" s="14" t="s">
        <v>423</v>
      </c>
    </row>
    <row r="15" customFormat="false" ht="48" hidden="false" customHeight="true" outlineLevel="0" collapsed="false">
      <c r="A15" s="12" t="s">
        <v>424</v>
      </c>
      <c r="B15" s="13" t="s">
        <v>425</v>
      </c>
      <c r="C15" s="15" t="s">
        <v>68</v>
      </c>
      <c r="D15" s="22" t="s">
        <v>426</v>
      </c>
      <c r="E15" s="17" t="s">
        <v>427</v>
      </c>
      <c r="F15" s="13" t="s">
        <v>428</v>
      </c>
      <c r="G15" s="14" t="s">
        <v>429</v>
      </c>
    </row>
    <row r="16" customFormat="false" ht="48" hidden="false" customHeight="true" outlineLevel="0" collapsed="false">
      <c r="A16" s="12" t="s">
        <v>430</v>
      </c>
      <c r="B16" s="13" t="s">
        <v>425</v>
      </c>
      <c r="C16" s="15" t="s">
        <v>197</v>
      </c>
      <c r="D16" s="22" t="s">
        <v>426</v>
      </c>
      <c r="E16" s="17" t="s">
        <v>431</v>
      </c>
      <c r="F16" s="13" t="s">
        <v>432</v>
      </c>
      <c r="G16" s="14" t="s">
        <v>433</v>
      </c>
    </row>
    <row r="17" customFormat="false" ht="48" hidden="false" customHeight="true" outlineLevel="0" collapsed="false">
      <c r="A17" s="12" t="s">
        <v>434</v>
      </c>
      <c r="B17" s="13" t="s">
        <v>425</v>
      </c>
      <c r="C17" s="15" t="s">
        <v>326</v>
      </c>
      <c r="D17" s="22" t="s">
        <v>426</v>
      </c>
      <c r="E17" s="17" t="s">
        <v>427</v>
      </c>
      <c r="F17" s="13" t="s">
        <v>435</v>
      </c>
      <c r="G17" s="14" t="s">
        <v>436</v>
      </c>
    </row>
    <row r="18" customFormat="false" ht="48" hidden="false" customHeight="true" outlineLevel="0" collapsed="false">
      <c r="A18" s="12" t="s">
        <v>437</v>
      </c>
      <c r="B18" s="13" t="s">
        <v>438</v>
      </c>
      <c r="C18" s="15" t="s">
        <v>106</v>
      </c>
      <c r="D18" s="22" t="s">
        <v>426</v>
      </c>
      <c r="E18" s="17" t="s">
        <v>431</v>
      </c>
      <c r="F18" s="13" t="s">
        <v>432</v>
      </c>
      <c r="G18" s="14" t="s">
        <v>433</v>
      </c>
    </row>
    <row r="19" customFormat="false" ht="48" hidden="false" customHeight="true" outlineLevel="0" collapsed="false">
      <c r="A19" s="12" t="s">
        <v>439</v>
      </c>
      <c r="B19" s="13" t="s">
        <v>438</v>
      </c>
      <c r="C19" s="15" t="s">
        <v>152</v>
      </c>
      <c r="D19" s="22" t="s">
        <v>426</v>
      </c>
      <c r="E19" s="17" t="s">
        <v>431</v>
      </c>
      <c r="F19" s="13" t="s">
        <v>432</v>
      </c>
      <c r="G19" s="14" t="s">
        <v>433</v>
      </c>
    </row>
    <row r="20" customFormat="false" ht="48" hidden="false" customHeight="true" outlineLevel="0" collapsed="false">
      <c r="A20" s="12" t="s">
        <v>440</v>
      </c>
      <c r="B20" s="13" t="s">
        <v>441</v>
      </c>
      <c r="C20" s="15" t="s">
        <v>106</v>
      </c>
      <c r="D20" s="22" t="s">
        <v>426</v>
      </c>
      <c r="E20" s="17" t="s">
        <v>442</v>
      </c>
      <c r="F20" s="13" t="s">
        <v>443</v>
      </c>
      <c r="G20" s="14" t="s">
        <v>444</v>
      </c>
    </row>
    <row r="21" customFormat="false" ht="48" hidden="false" customHeight="true" outlineLevel="0" collapsed="false">
      <c r="A21" s="12" t="s">
        <v>445</v>
      </c>
      <c r="B21" s="13" t="s">
        <v>441</v>
      </c>
      <c r="C21" s="15" t="s">
        <v>152</v>
      </c>
      <c r="D21" s="22" t="s">
        <v>426</v>
      </c>
      <c r="E21" s="17" t="s">
        <v>442</v>
      </c>
      <c r="F21" s="13" t="s">
        <v>443</v>
      </c>
      <c r="G21" s="14" t="s">
        <v>444</v>
      </c>
    </row>
    <row r="22" customFormat="false" ht="48" hidden="false" customHeight="true" outlineLevel="0" collapsed="false">
      <c r="A22" s="12" t="s">
        <v>446</v>
      </c>
      <c r="B22" s="13" t="s">
        <v>441</v>
      </c>
      <c r="C22" s="15" t="s">
        <v>197</v>
      </c>
      <c r="D22" s="22" t="s">
        <v>426</v>
      </c>
      <c r="E22" s="17" t="s">
        <v>442</v>
      </c>
      <c r="F22" s="13" t="s">
        <v>443</v>
      </c>
      <c r="G22" s="14" t="s">
        <v>444</v>
      </c>
    </row>
    <row r="23" customFormat="false" ht="48" hidden="false" customHeight="true" outlineLevel="0" collapsed="false">
      <c r="A23" s="12" t="s">
        <v>447</v>
      </c>
      <c r="B23" s="13" t="s">
        <v>448</v>
      </c>
      <c r="C23" s="15" t="s">
        <v>115</v>
      </c>
      <c r="D23" s="20" t="s">
        <v>388</v>
      </c>
      <c r="E23" s="17" t="s">
        <v>449</v>
      </c>
      <c r="F23" s="13" t="s">
        <v>450</v>
      </c>
      <c r="G23" s="14" t="s">
        <v>451</v>
      </c>
    </row>
    <row r="24" customFormat="false" ht="48" hidden="false" customHeight="true" outlineLevel="0" collapsed="false">
      <c r="A24" s="12" t="s">
        <v>452</v>
      </c>
      <c r="B24" s="13" t="s">
        <v>448</v>
      </c>
      <c r="C24" s="15" t="s">
        <v>169</v>
      </c>
      <c r="D24" s="20" t="s">
        <v>388</v>
      </c>
      <c r="E24" s="17" t="s">
        <v>449</v>
      </c>
      <c r="F24" s="13" t="s">
        <v>450</v>
      </c>
      <c r="G24" s="14" t="s">
        <v>451</v>
      </c>
    </row>
    <row r="25" customFormat="false" ht="48" hidden="false" customHeight="true" outlineLevel="0" collapsed="false">
      <c r="A25" s="12" t="s">
        <v>453</v>
      </c>
      <c r="B25" s="13" t="s">
        <v>454</v>
      </c>
      <c r="C25" s="15" t="s">
        <v>59</v>
      </c>
      <c r="D25" s="23" t="s">
        <v>455</v>
      </c>
      <c r="E25" s="17" t="s">
        <v>456</v>
      </c>
      <c r="F25" s="13" t="s">
        <v>457</v>
      </c>
      <c r="G25" s="14" t="s">
        <v>458</v>
      </c>
    </row>
    <row r="26" customFormat="false" ht="48" hidden="false" customHeight="true" outlineLevel="0" collapsed="false">
      <c r="A26" s="12" t="s">
        <v>459</v>
      </c>
      <c r="B26" s="13" t="s">
        <v>460</v>
      </c>
      <c r="C26" s="15" t="s">
        <v>143</v>
      </c>
      <c r="D26" s="21" t="s">
        <v>394</v>
      </c>
      <c r="E26" s="17" t="s">
        <v>405</v>
      </c>
      <c r="F26" s="13" t="s">
        <v>461</v>
      </c>
      <c r="G26" s="14" t="s">
        <v>462</v>
      </c>
    </row>
    <row r="27" customFormat="false" ht="48" hidden="false" customHeight="true" outlineLevel="0" collapsed="false">
      <c r="A27" s="12" t="s">
        <v>463</v>
      </c>
      <c r="B27" s="13" t="s">
        <v>464</v>
      </c>
      <c r="C27" s="15" t="s">
        <v>134</v>
      </c>
      <c r="D27" s="21" t="s">
        <v>394</v>
      </c>
      <c r="E27" s="17" t="s">
        <v>465</v>
      </c>
      <c r="F27" s="13" t="s">
        <v>466</v>
      </c>
      <c r="G27" s="14" t="s">
        <v>467</v>
      </c>
    </row>
    <row r="28" customFormat="false" ht="48" hidden="false" customHeight="true" outlineLevel="0" collapsed="false">
      <c r="A28" s="12" t="s">
        <v>468</v>
      </c>
      <c r="B28" s="13" t="s">
        <v>469</v>
      </c>
      <c r="C28" s="15" t="s">
        <v>298</v>
      </c>
      <c r="D28" s="21" t="s">
        <v>394</v>
      </c>
      <c r="E28" s="17" t="s">
        <v>470</v>
      </c>
      <c r="F28" s="13" t="s">
        <v>471</v>
      </c>
      <c r="G28" s="14" t="s">
        <v>306</v>
      </c>
    </row>
    <row r="29" customFormat="false" ht="48" hidden="false" customHeight="true" outlineLevel="0" collapsed="false">
      <c r="A29" s="12" t="s">
        <v>472</v>
      </c>
      <c r="B29" s="13" t="s">
        <v>473</v>
      </c>
      <c r="C29" s="15" t="s">
        <v>169</v>
      </c>
      <c r="D29" s="16" t="s">
        <v>373</v>
      </c>
      <c r="E29" s="17" t="s">
        <v>374</v>
      </c>
      <c r="F29" s="13" t="s">
        <v>375</v>
      </c>
      <c r="G29" s="18" t="s">
        <v>376</v>
      </c>
    </row>
    <row r="30" customFormat="false" ht="48" hidden="false" customHeight="true" outlineLevel="0" collapsed="false">
      <c r="A30" s="12" t="s">
        <v>472</v>
      </c>
      <c r="B30" s="13" t="s">
        <v>474</v>
      </c>
      <c r="C30" s="15" t="s">
        <v>242</v>
      </c>
      <c r="D30" s="16" t="s">
        <v>373</v>
      </c>
      <c r="E30" s="17" t="s">
        <v>374</v>
      </c>
      <c r="F30" s="13" t="s">
        <v>375</v>
      </c>
      <c r="G30" s="18" t="s">
        <v>376</v>
      </c>
    </row>
    <row r="31" customFormat="false" ht="48" hidden="false" customHeight="true" outlineLevel="0" collapsed="false">
      <c r="A31" s="12" t="s">
        <v>472</v>
      </c>
      <c r="B31" s="13" t="s">
        <v>475</v>
      </c>
      <c r="C31" s="15" t="s">
        <v>124</v>
      </c>
      <c r="D31" s="16" t="s">
        <v>373</v>
      </c>
      <c r="E31" s="17" t="s">
        <v>374</v>
      </c>
      <c r="F31" s="13" t="s">
        <v>375</v>
      </c>
      <c r="G31" s="18" t="s">
        <v>376</v>
      </c>
    </row>
    <row r="32" customFormat="false" ht="48" hidden="false" customHeight="true" outlineLevel="0" collapsed="false">
      <c r="A32" s="12" t="s">
        <v>476</v>
      </c>
      <c r="B32" s="13" t="s">
        <v>477</v>
      </c>
      <c r="C32" s="15" t="s">
        <v>252</v>
      </c>
      <c r="D32" s="19" t="s">
        <v>379</v>
      </c>
      <c r="E32" s="17" t="s">
        <v>478</v>
      </c>
      <c r="F32" s="13" t="s">
        <v>479</v>
      </c>
      <c r="G32" s="14" t="s">
        <v>480</v>
      </c>
    </row>
    <row r="33" customFormat="false" ht="48" hidden="false" customHeight="true" outlineLevel="0" collapsed="false">
      <c r="A33" s="12" t="s">
        <v>481</v>
      </c>
      <c r="B33" s="13" t="s">
        <v>477</v>
      </c>
      <c r="C33" s="15" t="s">
        <v>270</v>
      </c>
      <c r="D33" s="19" t="s">
        <v>379</v>
      </c>
      <c r="E33" s="17" t="s">
        <v>482</v>
      </c>
      <c r="F33" s="13" t="s">
        <v>483</v>
      </c>
      <c r="G33" s="14" t="s">
        <v>278</v>
      </c>
    </row>
    <row r="34" customFormat="false" ht="48" hidden="false" customHeight="true" outlineLevel="0" collapsed="false">
      <c r="A34" s="12" t="s">
        <v>484</v>
      </c>
      <c r="B34" s="13" t="s">
        <v>485</v>
      </c>
      <c r="C34" s="15" t="s">
        <v>261</v>
      </c>
      <c r="D34" s="20" t="s">
        <v>388</v>
      </c>
      <c r="E34" s="17" t="s">
        <v>486</v>
      </c>
      <c r="F34" s="13" t="s">
        <v>487</v>
      </c>
      <c r="G34" s="14" t="s">
        <v>488</v>
      </c>
    </row>
    <row r="35" customFormat="false" ht="48" hidden="false" customHeight="true" outlineLevel="0" collapsed="false">
      <c r="A35" s="12" t="s">
        <v>489</v>
      </c>
      <c r="B35" s="13" t="s">
        <v>490</v>
      </c>
      <c r="C35" s="15" t="s">
        <v>308</v>
      </c>
      <c r="D35" s="19" t="s">
        <v>379</v>
      </c>
      <c r="E35" s="17" t="s">
        <v>491</v>
      </c>
      <c r="F35" s="13" t="s">
        <v>492</v>
      </c>
      <c r="G35" s="14" t="s">
        <v>493</v>
      </c>
    </row>
    <row r="36" customFormat="false" ht="48" hidden="false" customHeight="true" outlineLevel="0" collapsed="false">
      <c r="A36" s="12" t="s">
        <v>494</v>
      </c>
      <c r="B36" s="13" t="s">
        <v>495</v>
      </c>
      <c r="C36" s="15" t="s">
        <v>40</v>
      </c>
      <c r="D36" s="19" t="s">
        <v>379</v>
      </c>
      <c r="E36" s="17" t="s">
        <v>496</v>
      </c>
      <c r="F36" s="13" t="s">
        <v>497</v>
      </c>
      <c r="G36" s="14" t="s">
        <v>498</v>
      </c>
    </row>
    <row r="37" customFormat="false" ht="48" hidden="false" customHeight="true" outlineLevel="0" collapsed="false">
      <c r="A37" s="12" t="s">
        <v>499</v>
      </c>
      <c r="B37" s="13" t="s">
        <v>495</v>
      </c>
      <c r="C37" s="15" t="s">
        <v>49</v>
      </c>
      <c r="D37" s="19" t="s">
        <v>379</v>
      </c>
      <c r="E37" s="17" t="s">
        <v>405</v>
      </c>
      <c r="F37" s="13" t="s">
        <v>500</v>
      </c>
      <c r="G37" s="14" t="s">
        <v>501</v>
      </c>
    </row>
    <row r="38" customFormat="false" ht="48" hidden="false" customHeight="true" outlineLevel="0" collapsed="false">
      <c r="A38" s="12" t="s">
        <v>502</v>
      </c>
      <c r="B38" s="13" t="s">
        <v>495</v>
      </c>
      <c r="C38" s="15" t="s">
        <v>68</v>
      </c>
      <c r="D38" s="19" t="s">
        <v>379</v>
      </c>
      <c r="E38" s="17" t="s">
        <v>503</v>
      </c>
      <c r="F38" s="13" t="s">
        <v>504</v>
      </c>
      <c r="G38" s="14" t="s">
        <v>505</v>
      </c>
    </row>
    <row r="39" customFormat="false" ht="48" hidden="false" customHeight="true" outlineLevel="0" collapsed="false">
      <c r="A39" s="12" t="s">
        <v>506</v>
      </c>
      <c r="B39" s="13" t="s">
        <v>495</v>
      </c>
      <c r="C39" s="15" t="s">
        <v>507</v>
      </c>
      <c r="D39" s="19" t="s">
        <v>379</v>
      </c>
      <c r="E39" s="17" t="s">
        <v>503</v>
      </c>
      <c r="F39" s="13" t="s">
        <v>508</v>
      </c>
      <c r="G39" s="14" t="s">
        <v>509</v>
      </c>
    </row>
    <row r="40" customFormat="false" ht="48" hidden="false" customHeight="true" outlineLevel="0" collapsed="false">
      <c r="A40" s="12" t="s">
        <v>510</v>
      </c>
      <c r="B40" s="13" t="s">
        <v>495</v>
      </c>
      <c r="C40" s="15" t="s">
        <v>134</v>
      </c>
      <c r="D40" s="21" t="s">
        <v>394</v>
      </c>
      <c r="E40" s="17" t="s">
        <v>465</v>
      </c>
      <c r="F40" s="13" t="s">
        <v>466</v>
      </c>
      <c r="G40" s="14" t="s">
        <v>467</v>
      </c>
    </row>
    <row r="41" customFormat="false" ht="48" hidden="false" customHeight="true" outlineLevel="0" collapsed="false">
      <c r="A41" s="12" t="s">
        <v>511</v>
      </c>
      <c r="B41" s="13" t="s">
        <v>495</v>
      </c>
      <c r="C41" s="15" t="s">
        <v>143</v>
      </c>
      <c r="D41" s="19" t="s">
        <v>379</v>
      </c>
      <c r="E41" s="17" t="s">
        <v>405</v>
      </c>
      <c r="F41" s="13" t="s">
        <v>512</v>
      </c>
      <c r="G41" s="14" t="s">
        <v>513</v>
      </c>
    </row>
    <row r="42" customFormat="false" ht="48" hidden="false" customHeight="true" outlineLevel="0" collapsed="false">
      <c r="A42" s="12" t="s">
        <v>514</v>
      </c>
      <c r="B42" s="13" t="s">
        <v>495</v>
      </c>
      <c r="C42" s="15" t="s">
        <v>515</v>
      </c>
      <c r="D42" s="19" t="s">
        <v>379</v>
      </c>
      <c r="E42" s="17" t="s">
        <v>503</v>
      </c>
      <c r="F42" s="13" t="s">
        <v>516</v>
      </c>
      <c r="G42" s="14" t="s">
        <v>196</v>
      </c>
    </row>
    <row r="43" customFormat="false" ht="48" hidden="false" customHeight="true" outlineLevel="0" collapsed="false">
      <c r="A43" s="12" t="s">
        <v>517</v>
      </c>
      <c r="B43" s="13" t="s">
        <v>495</v>
      </c>
      <c r="C43" s="15" t="s">
        <v>215</v>
      </c>
      <c r="D43" s="19" t="s">
        <v>379</v>
      </c>
      <c r="E43" s="17" t="s">
        <v>405</v>
      </c>
      <c r="F43" s="13" t="s">
        <v>518</v>
      </c>
      <c r="G43" s="14" t="s">
        <v>519</v>
      </c>
    </row>
    <row r="44" customFormat="false" ht="48" hidden="false" customHeight="true" outlineLevel="0" collapsed="false">
      <c r="A44" s="12" t="s">
        <v>520</v>
      </c>
      <c r="B44" s="13" t="s">
        <v>495</v>
      </c>
      <c r="C44" s="15" t="s">
        <v>242</v>
      </c>
      <c r="D44" s="19" t="s">
        <v>379</v>
      </c>
      <c r="E44" s="17" t="s">
        <v>405</v>
      </c>
      <c r="F44" s="13" t="s">
        <v>518</v>
      </c>
      <c r="G44" s="14" t="s">
        <v>519</v>
      </c>
    </row>
    <row r="45" customFormat="false" ht="48" hidden="false" customHeight="true" outlineLevel="0" collapsed="false">
      <c r="A45" s="12" t="s">
        <v>521</v>
      </c>
      <c r="B45" s="13" t="s">
        <v>495</v>
      </c>
      <c r="C45" s="15" t="s">
        <v>252</v>
      </c>
      <c r="D45" s="19" t="s">
        <v>379</v>
      </c>
      <c r="E45" s="17" t="s">
        <v>503</v>
      </c>
      <c r="F45" s="13" t="s">
        <v>516</v>
      </c>
      <c r="G45" s="14" t="s">
        <v>196</v>
      </c>
    </row>
    <row r="46" customFormat="false" ht="48" hidden="false" customHeight="true" outlineLevel="0" collapsed="false">
      <c r="A46" s="12" t="s">
        <v>522</v>
      </c>
      <c r="B46" s="13" t="s">
        <v>495</v>
      </c>
      <c r="C46" s="15" t="s">
        <v>308</v>
      </c>
      <c r="D46" s="19" t="s">
        <v>379</v>
      </c>
      <c r="E46" s="17" t="s">
        <v>503</v>
      </c>
      <c r="F46" s="13" t="s">
        <v>516</v>
      </c>
      <c r="G46" s="14" t="s">
        <v>196</v>
      </c>
    </row>
    <row r="47" customFormat="false" ht="48" hidden="false" customHeight="true" outlineLevel="0" collapsed="false">
      <c r="A47" s="12" t="s">
        <v>523</v>
      </c>
      <c r="B47" s="13" t="s">
        <v>495</v>
      </c>
      <c r="C47" s="15" t="s">
        <v>336</v>
      </c>
      <c r="D47" s="19" t="s">
        <v>379</v>
      </c>
      <c r="E47" s="17" t="s">
        <v>524</v>
      </c>
      <c r="F47" s="13" t="s">
        <v>525</v>
      </c>
      <c r="G47" s="14" t="s">
        <v>526</v>
      </c>
    </row>
    <row r="48" customFormat="false" ht="48" hidden="false" customHeight="true" outlineLevel="0" collapsed="false">
      <c r="A48" s="12" t="s">
        <v>527</v>
      </c>
      <c r="B48" s="13" t="s">
        <v>495</v>
      </c>
      <c r="C48" s="15" t="s">
        <v>354</v>
      </c>
      <c r="D48" s="19" t="s">
        <v>379</v>
      </c>
      <c r="E48" s="17" t="s">
        <v>503</v>
      </c>
      <c r="F48" s="13" t="s">
        <v>516</v>
      </c>
      <c r="G48" s="14" t="s">
        <v>196</v>
      </c>
    </row>
    <row r="49" customFormat="false" ht="48" hidden="false" customHeight="true" outlineLevel="0" collapsed="false">
      <c r="A49" s="12" t="s">
        <v>528</v>
      </c>
      <c r="B49" s="13" t="s">
        <v>529</v>
      </c>
      <c r="C49" s="15" t="s">
        <v>205</v>
      </c>
      <c r="D49" s="20" t="s">
        <v>388</v>
      </c>
      <c r="E49" s="17" t="s">
        <v>530</v>
      </c>
      <c r="F49" s="13" t="s">
        <v>531</v>
      </c>
      <c r="G49" s="14" t="s">
        <v>213</v>
      </c>
    </row>
    <row r="50" customFormat="false" ht="48" hidden="false" customHeight="true" outlineLevel="0" collapsed="false">
      <c r="A50" s="12" t="s">
        <v>532</v>
      </c>
      <c r="B50" s="13" t="s">
        <v>529</v>
      </c>
      <c r="C50" s="15" t="s">
        <v>289</v>
      </c>
      <c r="D50" s="20" t="s">
        <v>388</v>
      </c>
      <c r="E50" s="17" t="s">
        <v>530</v>
      </c>
      <c r="F50" s="13" t="s">
        <v>531</v>
      </c>
      <c r="G50" s="14" t="s">
        <v>213</v>
      </c>
    </row>
    <row r="51" customFormat="false" ht="48" hidden="false" customHeight="true" outlineLevel="0" collapsed="false">
      <c r="A51" s="12" t="s">
        <v>533</v>
      </c>
      <c r="B51" s="13" t="s">
        <v>534</v>
      </c>
      <c r="C51" s="15" t="s">
        <v>40</v>
      </c>
      <c r="D51" s="19" t="s">
        <v>379</v>
      </c>
      <c r="E51" s="17" t="s">
        <v>535</v>
      </c>
      <c r="F51" s="13" t="s">
        <v>536</v>
      </c>
      <c r="G51" s="14" t="s">
        <v>537</v>
      </c>
    </row>
    <row r="52" customFormat="false" ht="48" hidden="false" customHeight="true" outlineLevel="0" collapsed="false">
      <c r="A52" s="12" t="s">
        <v>538</v>
      </c>
      <c r="B52" s="13" t="s">
        <v>539</v>
      </c>
      <c r="C52" s="15" t="s">
        <v>40</v>
      </c>
      <c r="D52" s="19" t="s">
        <v>379</v>
      </c>
      <c r="E52" s="17" t="s">
        <v>405</v>
      </c>
      <c r="F52" s="13" t="s">
        <v>540</v>
      </c>
      <c r="G52" s="14" t="s">
        <v>541</v>
      </c>
    </row>
    <row r="53" customFormat="false" ht="48" hidden="false" customHeight="true" outlineLevel="0" collapsed="false">
      <c r="A53" s="12" t="s">
        <v>542</v>
      </c>
      <c r="B53" s="13" t="s">
        <v>543</v>
      </c>
      <c r="C53" s="15" t="s">
        <v>106</v>
      </c>
      <c r="D53" s="20" t="s">
        <v>388</v>
      </c>
      <c r="E53" s="17" t="s">
        <v>544</v>
      </c>
      <c r="F53" s="13" t="s">
        <v>545</v>
      </c>
      <c r="G53" s="14" t="s">
        <v>546</v>
      </c>
    </row>
    <row r="54" customFormat="false" ht="48" hidden="false" customHeight="true" outlineLevel="0" collapsed="false">
      <c r="A54" s="12" t="s">
        <v>547</v>
      </c>
      <c r="B54" s="13" t="s">
        <v>543</v>
      </c>
      <c r="C54" s="15" t="s">
        <v>345</v>
      </c>
      <c r="D54" s="20" t="s">
        <v>388</v>
      </c>
      <c r="E54" s="17" t="s">
        <v>405</v>
      </c>
      <c r="F54" s="13" t="s">
        <v>548</v>
      </c>
      <c r="G54" s="14" t="s">
        <v>546</v>
      </c>
    </row>
    <row r="55" customFormat="false" ht="48" hidden="false" customHeight="true" outlineLevel="0" collapsed="false">
      <c r="A55" s="12" t="s">
        <v>549</v>
      </c>
      <c r="B55" s="13" t="s">
        <v>550</v>
      </c>
      <c r="C55" s="15" t="s">
        <v>317</v>
      </c>
      <c r="D55" s="20" t="s">
        <v>388</v>
      </c>
      <c r="E55" s="17" t="s">
        <v>405</v>
      </c>
      <c r="F55" s="13" t="s">
        <v>551</v>
      </c>
      <c r="G55" s="14" t="s">
        <v>552</v>
      </c>
    </row>
    <row r="56" customFormat="false" ht="48" hidden="false" customHeight="true" outlineLevel="0" collapsed="false">
      <c r="A56" s="12" t="s">
        <v>553</v>
      </c>
      <c r="B56" s="13" t="s">
        <v>554</v>
      </c>
      <c r="C56" s="15" t="s">
        <v>224</v>
      </c>
      <c r="D56" s="20" t="s">
        <v>388</v>
      </c>
      <c r="E56" s="17" t="s">
        <v>405</v>
      </c>
      <c r="F56" s="13" t="s">
        <v>555</v>
      </c>
      <c r="G56" s="14" t="s">
        <v>556</v>
      </c>
    </row>
    <row r="57" customFormat="false" ht="48" hidden="false" customHeight="true" outlineLevel="0" collapsed="false">
      <c r="A57" s="12" t="s">
        <v>557</v>
      </c>
      <c r="B57" s="13" t="s">
        <v>558</v>
      </c>
      <c r="C57" s="15" t="s">
        <v>124</v>
      </c>
      <c r="D57" s="19" t="s">
        <v>379</v>
      </c>
      <c r="E57" s="17" t="s">
        <v>559</v>
      </c>
      <c r="F57" s="13" t="s">
        <v>560</v>
      </c>
      <c r="G57" s="14" t="s">
        <v>561</v>
      </c>
    </row>
    <row r="58" customFormat="false" ht="48" hidden="false" customHeight="true" outlineLevel="0" collapsed="false">
      <c r="A58" s="12" t="s">
        <v>562</v>
      </c>
      <c r="B58" s="13" t="s">
        <v>563</v>
      </c>
      <c r="C58" s="15" t="s">
        <v>88</v>
      </c>
      <c r="D58" s="19" t="s">
        <v>379</v>
      </c>
      <c r="E58" s="17" t="s">
        <v>559</v>
      </c>
      <c r="F58" s="13" t="s">
        <v>560</v>
      </c>
      <c r="G58" s="14" t="s">
        <v>561</v>
      </c>
    </row>
    <row r="59" customFormat="false" ht="48" hidden="false" customHeight="true" outlineLevel="0" collapsed="false">
      <c r="A59" s="12" t="s">
        <v>564</v>
      </c>
      <c r="B59" s="13" t="s">
        <v>565</v>
      </c>
      <c r="C59" s="15" t="s">
        <v>160</v>
      </c>
      <c r="D59" s="20" t="s">
        <v>388</v>
      </c>
      <c r="E59" s="17" t="s">
        <v>544</v>
      </c>
      <c r="F59" s="13" t="s">
        <v>545</v>
      </c>
      <c r="G59" s="14" t="s">
        <v>546</v>
      </c>
    </row>
    <row r="60" customFormat="false" ht="48" hidden="false" customHeight="true" outlineLevel="0" collapsed="false">
      <c r="A60" s="12" t="s">
        <v>566</v>
      </c>
      <c r="B60" s="13" t="s">
        <v>567</v>
      </c>
      <c r="C60" s="15" t="s">
        <v>68</v>
      </c>
      <c r="D60" s="20" t="s">
        <v>388</v>
      </c>
      <c r="E60" s="17" t="s">
        <v>427</v>
      </c>
      <c r="F60" s="13" t="s">
        <v>568</v>
      </c>
      <c r="G60" s="14" t="s">
        <v>569</v>
      </c>
    </row>
    <row r="61" customFormat="false" ht="48" hidden="false" customHeight="true" outlineLevel="0" collapsed="false">
      <c r="A61" s="12" t="s">
        <v>570</v>
      </c>
      <c r="B61" s="13" t="s">
        <v>571</v>
      </c>
      <c r="C61" s="15" t="s">
        <v>572</v>
      </c>
      <c r="D61" s="23" t="s">
        <v>455</v>
      </c>
      <c r="E61" s="17" t="s">
        <v>573</v>
      </c>
      <c r="F61" s="13" t="s">
        <v>574</v>
      </c>
      <c r="G61" s="14" t="s">
        <v>575</v>
      </c>
    </row>
    <row r="62" customFormat="false" ht="48" hidden="false" customHeight="true" outlineLevel="0" collapsed="false">
      <c r="A62" s="12" t="s">
        <v>576</v>
      </c>
      <c r="B62" s="13" t="s">
        <v>577</v>
      </c>
      <c r="C62" s="15" t="s">
        <v>97</v>
      </c>
      <c r="D62" s="19" t="s">
        <v>379</v>
      </c>
      <c r="E62" s="17" t="s">
        <v>578</v>
      </c>
      <c r="F62" s="13" t="s">
        <v>579</v>
      </c>
      <c r="G62" s="14" t="s">
        <v>580</v>
      </c>
    </row>
    <row r="63" customFormat="false" ht="48" hidden="false" customHeight="true" outlineLevel="0" collapsed="false">
      <c r="A63" s="12" t="s">
        <v>581</v>
      </c>
      <c r="B63" s="13" t="s">
        <v>582</v>
      </c>
      <c r="C63" s="15" t="s">
        <v>224</v>
      </c>
      <c r="D63" s="22" t="s">
        <v>426</v>
      </c>
      <c r="E63" s="17" t="s">
        <v>427</v>
      </c>
      <c r="F63" s="13" t="s">
        <v>583</v>
      </c>
      <c r="G63" s="14" t="s">
        <v>584</v>
      </c>
    </row>
    <row r="64" customFormat="false" ht="48" hidden="false" customHeight="true" outlineLevel="0" collapsed="false">
      <c r="A64" s="12" t="s">
        <v>585</v>
      </c>
      <c r="B64" s="13" t="s">
        <v>582</v>
      </c>
      <c r="C64" s="15" t="s">
        <v>233</v>
      </c>
      <c r="D64" s="22" t="s">
        <v>426</v>
      </c>
      <c r="E64" s="17" t="s">
        <v>427</v>
      </c>
      <c r="F64" s="13" t="s">
        <v>583</v>
      </c>
      <c r="G64" s="14" t="s">
        <v>584</v>
      </c>
    </row>
    <row r="65" customFormat="false" ht="48" hidden="false" customHeight="true" outlineLevel="0" collapsed="false">
      <c r="A65" s="12" t="s">
        <v>586</v>
      </c>
      <c r="B65" s="13" t="s">
        <v>582</v>
      </c>
      <c r="C65" s="15" t="s">
        <v>261</v>
      </c>
      <c r="D65" s="22" t="s">
        <v>426</v>
      </c>
      <c r="E65" s="17" t="s">
        <v>427</v>
      </c>
      <c r="F65" s="13" t="s">
        <v>587</v>
      </c>
      <c r="G65" s="14" t="s">
        <v>588</v>
      </c>
    </row>
    <row r="66" customFormat="false" ht="48" hidden="false" customHeight="true" outlineLevel="0" collapsed="false">
      <c r="A66" s="12" t="s">
        <v>589</v>
      </c>
      <c r="B66" s="13" t="s">
        <v>582</v>
      </c>
      <c r="C66" s="15" t="s">
        <v>289</v>
      </c>
      <c r="D66" s="22" t="s">
        <v>426</v>
      </c>
      <c r="E66" s="17" t="s">
        <v>427</v>
      </c>
      <c r="F66" s="13" t="s">
        <v>590</v>
      </c>
      <c r="G66" s="14" t="s">
        <v>591</v>
      </c>
    </row>
    <row r="67" customFormat="false" ht="48" hidden="false" customHeight="true" outlineLevel="0" collapsed="false">
      <c r="A67" s="12" t="s">
        <v>592</v>
      </c>
      <c r="B67" s="13" t="s">
        <v>582</v>
      </c>
      <c r="C67" s="15" t="s">
        <v>289</v>
      </c>
      <c r="D67" s="22" t="s">
        <v>426</v>
      </c>
      <c r="E67" s="17" t="s">
        <v>427</v>
      </c>
      <c r="F67" s="13" t="s">
        <v>593</v>
      </c>
      <c r="G67" s="14" t="s">
        <v>594</v>
      </c>
    </row>
    <row r="68" customFormat="false" ht="48" hidden="false" customHeight="true" outlineLevel="0" collapsed="false">
      <c r="A68" s="12" t="s">
        <v>595</v>
      </c>
      <c r="B68" s="13" t="s">
        <v>582</v>
      </c>
      <c r="C68" s="15" t="s">
        <v>317</v>
      </c>
      <c r="D68" s="22" t="s">
        <v>426</v>
      </c>
      <c r="E68" s="17" t="s">
        <v>427</v>
      </c>
      <c r="F68" s="13" t="s">
        <v>596</v>
      </c>
      <c r="G68" s="14" t="s">
        <v>597</v>
      </c>
    </row>
    <row r="69" customFormat="false" ht="48" hidden="false" customHeight="true" outlineLevel="0" collapsed="false">
      <c r="A69" s="12" t="s">
        <v>598</v>
      </c>
      <c r="B69" s="13" t="s">
        <v>582</v>
      </c>
      <c r="C69" s="15" t="s">
        <v>345</v>
      </c>
      <c r="D69" s="22" t="s">
        <v>426</v>
      </c>
      <c r="E69" s="17" t="s">
        <v>427</v>
      </c>
      <c r="F69" s="13" t="s">
        <v>599</v>
      </c>
      <c r="G69" s="14" t="s">
        <v>600</v>
      </c>
    </row>
    <row r="70" customFormat="false" ht="48" hidden="false" customHeight="true" outlineLevel="0" collapsed="false">
      <c r="A70" s="12" t="s">
        <v>601</v>
      </c>
      <c r="B70" s="13" t="s">
        <v>602</v>
      </c>
      <c r="C70" s="15" t="s">
        <v>215</v>
      </c>
      <c r="D70" s="21" t="s">
        <v>394</v>
      </c>
      <c r="E70" s="17" t="s">
        <v>603</v>
      </c>
      <c r="F70" s="13" t="s">
        <v>604</v>
      </c>
      <c r="G70" s="14" t="s">
        <v>605</v>
      </c>
    </row>
    <row r="71" customFormat="false" ht="48" hidden="false" customHeight="true" outlineLevel="0" collapsed="false">
      <c r="A71" s="12" t="s">
        <v>606</v>
      </c>
      <c r="B71" s="13" t="s">
        <v>607</v>
      </c>
      <c r="C71" s="15" t="s">
        <v>59</v>
      </c>
      <c r="D71" s="23" t="s">
        <v>455</v>
      </c>
      <c r="E71" s="17" t="s">
        <v>603</v>
      </c>
      <c r="F71" s="13" t="s">
        <v>608</v>
      </c>
      <c r="G71" s="14" t="s">
        <v>609</v>
      </c>
    </row>
    <row r="72" customFormat="false" ht="48" hidden="false" customHeight="true" outlineLevel="0" collapsed="false">
      <c r="A72" s="12" t="s">
        <v>610</v>
      </c>
      <c r="B72" s="13" t="s">
        <v>611</v>
      </c>
      <c r="C72" s="15" t="s">
        <v>160</v>
      </c>
      <c r="D72" s="20" t="s">
        <v>388</v>
      </c>
      <c r="E72" s="17" t="s">
        <v>612</v>
      </c>
      <c r="F72" s="13" t="s">
        <v>613</v>
      </c>
      <c r="G72" s="14" t="s">
        <v>614</v>
      </c>
    </row>
    <row r="73" customFormat="false" ht="48" hidden="false" customHeight="true" outlineLevel="0" collapsed="false">
      <c r="A73" s="12" t="s">
        <v>615</v>
      </c>
      <c r="B73" s="13" t="s">
        <v>611</v>
      </c>
      <c r="C73" s="15" t="s">
        <v>326</v>
      </c>
      <c r="D73" s="23" t="s">
        <v>455</v>
      </c>
      <c r="E73" s="17" t="s">
        <v>616</v>
      </c>
      <c r="F73" s="13" t="s">
        <v>617</v>
      </c>
      <c r="G73" s="14" t="s">
        <v>618</v>
      </c>
    </row>
    <row r="74" customFormat="false" ht="48" hidden="false" customHeight="true" outlineLevel="0" collapsed="false">
      <c r="A74" s="12" t="s">
        <v>619</v>
      </c>
      <c r="B74" s="13" t="s">
        <v>620</v>
      </c>
      <c r="C74" s="15" t="s">
        <v>261</v>
      </c>
      <c r="D74" s="20" t="s">
        <v>388</v>
      </c>
      <c r="E74" s="17" t="s">
        <v>621</v>
      </c>
      <c r="F74" s="13" t="s">
        <v>622</v>
      </c>
      <c r="G74" s="14" t="s">
        <v>623</v>
      </c>
    </row>
    <row r="75" customFormat="false" ht="48" hidden="false" customHeight="true" outlineLevel="0" collapsed="false">
      <c r="A75" s="12" t="s">
        <v>624</v>
      </c>
      <c r="B75" s="13" t="s">
        <v>625</v>
      </c>
      <c r="C75" s="15" t="s">
        <v>224</v>
      </c>
      <c r="D75" s="20" t="s">
        <v>388</v>
      </c>
      <c r="E75" s="17" t="s">
        <v>626</v>
      </c>
      <c r="F75" s="13" t="s">
        <v>627</v>
      </c>
      <c r="G75" s="14" t="s">
        <v>628</v>
      </c>
    </row>
    <row r="76" customFormat="false" ht="48" hidden="false" customHeight="true" outlineLevel="0" collapsed="false">
      <c r="A76" s="12" t="s">
        <v>629</v>
      </c>
      <c r="B76" s="13" t="s">
        <v>630</v>
      </c>
      <c r="C76" s="15" t="s">
        <v>317</v>
      </c>
      <c r="D76" s="20" t="s">
        <v>388</v>
      </c>
      <c r="E76" s="17" t="s">
        <v>631</v>
      </c>
      <c r="F76" s="13" t="s">
        <v>632</v>
      </c>
      <c r="G76" s="14" t="s">
        <v>633</v>
      </c>
    </row>
    <row r="77" customFormat="false" ht="48" hidden="false" customHeight="true" outlineLevel="0" collapsed="false">
      <c r="A77" s="12" t="s">
        <v>634</v>
      </c>
      <c r="B77" s="13" t="s">
        <v>630</v>
      </c>
      <c r="C77" s="15" t="s">
        <v>345</v>
      </c>
      <c r="D77" s="20" t="s">
        <v>388</v>
      </c>
      <c r="E77" s="17" t="s">
        <v>635</v>
      </c>
      <c r="F77" s="13" t="s">
        <v>636</v>
      </c>
      <c r="G77" s="14" t="s">
        <v>637</v>
      </c>
    </row>
    <row r="78" customFormat="false" ht="48" hidden="false" customHeight="true" outlineLevel="0" collapsed="false">
      <c r="A78" s="12" t="s">
        <v>638</v>
      </c>
      <c r="B78" s="13" t="s">
        <v>639</v>
      </c>
      <c r="C78" s="15" t="s">
        <v>115</v>
      </c>
      <c r="D78" s="20" t="s">
        <v>388</v>
      </c>
      <c r="E78" s="17" t="s">
        <v>621</v>
      </c>
      <c r="F78" s="13" t="s">
        <v>622</v>
      </c>
      <c r="G78" s="14" t="s">
        <v>623</v>
      </c>
    </row>
    <row r="79" customFormat="false" ht="48" hidden="false" customHeight="true" outlineLevel="0" collapsed="false">
      <c r="A79" s="12" t="s">
        <v>640</v>
      </c>
      <c r="B79" s="13" t="s">
        <v>641</v>
      </c>
      <c r="C79" s="15" t="s">
        <v>233</v>
      </c>
      <c r="D79" s="20" t="s">
        <v>388</v>
      </c>
      <c r="E79" s="17" t="s">
        <v>642</v>
      </c>
      <c r="F79" s="13" t="s">
        <v>643</v>
      </c>
      <c r="G79" s="14" t="s">
        <v>644</v>
      </c>
    </row>
    <row r="80" customFormat="false" ht="48" hidden="false" customHeight="true" outlineLevel="0" collapsed="false">
      <c r="A80" s="12" t="s">
        <v>645</v>
      </c>
      <c r="B80" s="13" t="s">
        <v>646</v>
      </c>
      <c r="C80" s="15" t="s">
        <v>336</v>
      </c>
      <c r="D80" s="21" t="s">
        <v>394</v>
      </c>
      <c r="E80" s="17" t="s">
        <v>405</v>
      </c>
      <c r="F80" s="13" t="s">
        <v>647</v>
      </c>
      <c r="G80" s="14" t="s">
        <v>648</v>
      </c>
    </row>
    <row r="81" customFormat="false" ht="48" hidden="false" customHeight="true" outlineLevel="0" collapsed="false">
      <c r="A81" s="12" t="s">
        <v>649</v>
      </c>
      <c r="B81" s="13" t="s">
        <v>650</v>
      </c>
      <c r="C81" s="15" t="s">
        <v>242</v>
      </c>
      <c r="D81" s="23" t="s">
        <v>455</v>
      </c>
      <c r="E81" s="17" t="s">
        <v>651</v>
      </c>
      <c r="F81" s="13" t="s">
        <v>652</v>
      </c>
      <c r="G81" s="14" t="s">
        <v>653</v>
      </c>
    </row>
    <row r="82" customFormat="false" ht="48" hidden="false" customHeight="true" outlineLevel="0" collapsed="false">
      <c r="A82" s="12" t="s">
        <v>654</v>
      </c>
      <c r="B82" s="13" t="s">
        <v>655</v>
      </c>
      <c r="C82" s="15" t="s">
        <v>115</v>
      </c>
      <c r="D82" s="20" t="s">
        <v>388</v>
      </c>
      <c r="E82" s="17" t="s">
        <v>656</v>
      </c>
      <c r="F82" s="13" t="s">
        <v>657</v>
      </c>
      <c r="G82" s="14" t="s">
        <v>658</v>
      </c>
    </row>
    <row r="83" customFormat="false" ht="48" hidden="false" customHeight="true" outlineLevel="0" collapsed="false">
      <c r="A83" s="12" t="s">
        <v>659</v>
      </c>
      <c r="B83" s="13" t="s">
        <v>660</v>
      </c>
      <c r="C83" s="15" t="s">
        <v>59</v>
      </c>
      <c r="D83" s="23" t="s">
        <v>455</v>
      </c>
      <c r="E83" s="17" t="s">
        <v>661</v>
      </c>
      <c r="F83" s="13" t="s">
        <v>662</v>
      </c>
      <c r="G83" s="14" t="s">
        <v>663</v>
      </c>
    </row>
    <row r="84" customFormat="false" ht="48" hidden="false" customHeight="true" outlineLevel="0" collapsed="false">
      <c r="A84" s="12" t="s">
        <v>664</v>
      </c>
      <c r="B84" s="13" t="s">
        <v>665</v>
      </c>
      <c r="C84" s="15" t="s">
        <v>169</v>
      </c>
      <c r="D84" s="21" t="s">
        <v>394</v>
      </c>
      <c r="E84" s="17" t="s">
        <v>666</v>
      </c>
      <c r="F84" s="13" t="s">
        <v>667</v>
      </c>
      <c r="G84" s="14" t="s">
        <v>668</v>
      </c>
    </row>
    <row r="85" customFormat="false" ht="48" hidden="false" customHeight="true" outlineLevel="0" collapsed="false">
      <c r="A85" s="12" t="s">
        <v>669</v>
      </c>
      <c r="B85" s="13" t="s">
        <v>670</v>
      </c>
      <c r="C85" s="15" t="s">
        <v>97</v>
      </c>
      <c r="D85" s="19" t="s">
        <v>379</v>
      </c>
      <c r="E85" s="17" t="s">
        <v>405</v>
      </c>
      <c r="F85" s="13" t="s">
        <v>671</v>
      </c>
      <c r="G85" s="14" t="s">
        <v>672</v>
      </c>
    </row>
    <row r="86" customFormat="false" ht="48" hidden="false" customHeight="true" outlineLevel="0" collapsed="false">
      <c r="A86" s="12" t="s">
        <v>673</v>
      </c>
      <c r="B86" s="13" t="s">
        <v>674</v>
      </c>
      <c r="C86" s="15" t="s">
        <v>188</v>
      </c>
      <c r="D86" s="16" t="s">
        <v>373</v>
      </c>
      <c r="E86" s="17" t="s">
        <v>374</v>
      </c>
      <c r="F86" s="13" t="s">
        <v>375</v>
      </c>
      <c r="G86" s="18" t="s">
        <v>376</v>
      </c>
    </row>
    <row r="87" customFormat="false" ht="48" hidden="false" customHeight="true" outlineLevel="0" collapsed="false">
      <c r="A87" s="12" t="s">
        <v>472</v>
      </c>
      <c r="B87" s="13" t="s">
        <v>675</v>
      </c>
      <c r="C87" s="15" t="s">
        <v>205</v>
      </c>
      <c r="D87" s="16" t="s">
        <v>373</v>
      </c>
      <c r="E87" s="17" t="s">
        <v>374</v>
      </c>
      <c r="F87" s="13" t="s">
        <v>375</v>
      </c>
      <c r="G87" s="18" t="s">
        <v>376</v>
      </c>
    </row>
    <row r="88" customFormat="false" ht="48" hidden="false" customHeight="true" outlineLevel="0" collapsed="false">
      <c r="A88" s="12" t="s">
        <v>371</v>
      </c>
      <c r="B88" s="13" t="s">
        <v>676</v>
      </c>
      <c r="C88" s="15" t="s">
        <v>298</v>
      </c>
      <c r="D88" s="16" t="s">
        <v>373</v>
      </c>
      <c r="E88" s="17" t="s">
        <v>374</v>
      </c>
      <c r="F88" s="13" t="s">
        <v>375</v>
      </c>
      <c r="G88" s="18" t="s">
        <v>376</v>
      </c>
    </row>
  </sheetData>
  <hyperlinks>
    <hyperlink ref="G4" r:id="rId1" display="https://about.bnef.com/"/>
    <hyperlink ref="G5" r:id="rId2" display="https://about.bnef.com/"/>
    <hyperlink ref="G6" r:id="rId3" display="https://about.bnef.com/"/>
    <hyperlink ref="G7" r:id="rId4" display="https://about.bnef.com/"/>
    <hyperlink ref="G8" r:id="rId5" display="https://ww2.arb.ca.gov/our-work/programs/advanced-clean-fleets"/>
    <hyperlink ref="G9" r:id="rId6" display="http://www.evcipa.org.cn/"/>
    <hyperlink ref="G10" r:id="rId7" display="https://www.clarksons.net/wfr/"/>
    <hyperlink ref="G11" r:id="rId8" display="https://www.there100.org/re100-progress-and-insights-annual-report"/>
    <hyperlink ref="G12" r:id="rId9" display="https://afi.dnv.com/"/>
    <hyperlink ref="G13" r:id="rId10" display="https://www.energy-transitions.org/publications/mission-possible/"/>
    <hyperlink ref="G14" r:id="rId11" display="https://cinea.ec.europa.eu/programmes/innovation-fund_en"/>
    <hyperlink ref="G15" r:id="rId12" display="https://eur-lex.europa.eu/eli/dir/2018/2001/oj"/>
    <hyperlink ref="G16" r:id="rId13" display="https://eur-lex.europa.eu/eli/reg/2023/956/oj/eng"/>
    <hyperlink ref="G17" r:id="rId14" display="https://eur-lex.europa.eu/eli/reg/2023/1804/2026-01-08/eng"/>
    <hyperlink ref="G18" r:id="rId15" display="https://eur-lex.europa.eu/eli/reg/2023/956/oj/eng"/>
    <hyperlink ref="G19" r:id="rId16" display="https://eur-lex.europa.eu/eli/reg/2023/956/oj/eng"/>
    <hyperlink ref="G20" r:id="rId17" display="https://eur-lex.europa.eu/eli/reg_impl/2021/447/2026-03-18/eng"/>
    <hyperlink ref="G21" r:id="rId18" display="https://eur-lex.europa.eu/eli/reg_impl/2021/447/2026-03-18/eng"/>
    <hyperlink ref="G22" r:id="rId19" display="https://eur-lex.europa.eu/eli/reg_impl/2021/447/2026-03-18/eng"/>
    <hyperlink ref="G23" r:id="rId20" display="https://green-business.ec.europa.eu/green-public-procurement_en"/>
    <hyperlink ref="G24" r:id="rId21" display="https://green-business.ec.europa.eu/green-public-procurement_en"/>
    <hyperlink ref="G25" r:id="rId22" display="https://www.eex.com/en/market-data/environmental-markets/spot-market"/>
    <hyperlink ref="G26" r:id="rId23" display="https://gccassociation.org/sustainability-innovation/gnr-gcca-in-numbers/"/>
    <hyperlink ref="G27" r:id="rId24" display="https://co2re.co/FacilityData"/>
    <hyperlink ref="G28" r:id="rId25" display="https://www.globalmaritimeforum.org/green-corridors"/>
    <hyperlink ref="G32" r:id="rId26" display="https://www.iata.org/en/iata-repository/publications/economic-reports/sustainable-aviation-fuel-fact-sheet/"/>
    <hyperlink ref="G33" r:id="rId27" display="https://www.iata.org/en/programs/environment/sustainable-aviation-fuels/"/>
    <hyperlink ref="G34" r:id="rId28" display="https://www.icao.int/environmental-protection/CORSIA/Pages/state-pairs.aspx"/>
    <hyperlink ref="G35" r:id="rId29" display="https://theicct.org/publications/"/>
    <hyperlink ref="G36" r:id="rId30" display="https://www.iea.org/reports/world-energy-investment-2025"/>
    <hyperlink ref="G37" r:id="rId31" display="https://www.iea.org/energy-system/electricity/grid-scale-storage"/>
    <hyperlink ref="G38" r:id="rId32" display="https://www.iea.org/reports/renewables-2024"/>
    <hyperlink ref="G39" r:id="rId33" display="https://www.iea.org/reports/global-hydrogen-review-2024"/>
    <hyperlink ref="G40" r:id="rId34" display="https://co2re.co/FacilityData"/>
    <hyperlink ref="G41" r:id="rId35" display="https://www.iea.org/energy-system/industry/cement"/>
    <hyperlink ref="G42" r:id="rId36" display="https://www.iea.org/reports/world-energy-outlook-2024"/>
    <hyperlink ref="G43" r:id="rId37" display="https://www.iea.org/reports/global-critical-minerals-outlook-2024"/>
    <hyperlink ref="G44" r:id="rId38" display="https://www.iea.org/reports/global-critical-minerals-outlook-2024"/>
    <hyperlink ref="G45" r:id="rId39" display="https://www.iea.org/reports/world-energy-outlook-2024"/>
    <hyperlink ref="G46" r:id="rId40" display="https://www.iea.org/reports/world-energy-outlook-2024"/>
    <hyperlink ref="G47" r:id="rId41" display="https://www.iea.org/reports/global-methane-tracker-2025"/>
    <hyperlink ref="G48" r:id="rId42" display="https://www.iea.org/reports/world-energy-outlook-2024"/>
    <hyperlink ref="G49" r:id="rId43" display="https://www.imo.org/en/OurWork/Environment/Pages/2023-IMO-Strategy-on-Reduction-of-GHG-Emissions-from-Ships.aspx"/>
    <hyperlink ref="G50" r:id="rId44" display="https://www.imo.org/en/OurWork/Environment/Pages/2023-IMO-Strategy-on-Reduction-of-GHG-Emissions-from-Ships.aspx"/>
    <hyperlink ref="G51" r:id="rId45" display="https://www.irena.org/Publications/2024/Sep/Renewable-Power-Generation-Costs-in-2023"/>
    <hyperlink ref="G52" r:id="rId46" display="https://www.lazard.com/research-insights/levelized-cost-of-energyplus/"/>
    <hyperlink ref="G53" r:id="rId47" display="https://www.mee.gov.cn/"/>
    <hyperlink ref="G54" r:id="rId48" display="https://www.mee.gov.cn/"/>
    <hyperlink ref="G55" r:id="rId49" display="https://www.miit.gov.cn/"/>
    <hyperlink ref="G56" r:id="rId50" display="https://www.mnr.gov.cn/"/>
    <hyperlink ref="G57" r:id="rId51" display="https://missionpossiblepartnership.org/publications/"/>
    <hyperlink ref="G58" r:id="rId52" display="https://missionpossiblepartnership.org/publications/"/>
    <hyperlink ref="G59" r:id="rId53" display="https://www.mee.gov.cn/"/>
    <hyperlink ref="G60" r:id="rId54" display="https://www.nea.gov.cn/"/>
    <hyperlink ref="G61" r:id="rId55" display="https://www.ngfs.net/ngfs-scenarios-portal/data-resources/"/>
    <hyperlink ref="G62" r:id="rId56" display="https://www.oecd.org/en/topics/sub-issues/steel-market-developments.html"/>
    <hyperlink ref="G63" r:id="rId57" display="https://eur-lex.europa.eu/eli/reg/2024/1252/2024-05-03/eng"/>
    <hyperlink ref="G64" r:id="rId58" display="https://eur-lex.europa.eu/eli/reg/2024/1252/2024-05-03/eng"/>
    <hyperlink ref="G65" r:id="rId59" display="https://eur-lex.europa.eu/eli/reg/2023/2405/oj"/>
    <hyperlink ref="G66" r:id="rId60" display="https://eur-lex.europa.eu/eli/dir/2023/959/oj"/>
    <hyperlink ref="G67" r:id="rId61" display="https://eur-lex.europa.eu/legal-content/en/LSU/?uri=CELEX%3A32023R1805"/>
    <hyperlink ref="G68" r:id="rId62" display="https://eur-lex.europa.eu/eli/reg/2024/1610/oj"/>
    <hyperlink ref="G69" r:id="rId63" display="https://eur-lex.europa.eu/eli/reg/2024/1787/oj/eng"/>
    <hyperlink ref="G70" r:id="rId64" display="https://www.spglobal.com/marketintelligence/en/sector/metals-mining"/>
    <hyperlink ref="G71" r:id="rId65" display="https://www.cneeex.com/"/>
    <hyperlink ref="G72" r:id="rId66" display="https://www.energy.gov/oced/industrial-demonstrations-program"/>
    <hyperlink ref="G73" r:id="rId67" display="https://afdc.energy.gov/"/>
    <hyperlink ref="G74" r:id="rId68" display="https://www.sustainability.gov/buyclean/"/>
    <hyperlink ref="G75" r:id="rId69" display="https://www.congress.gov/bill/118th-congress/house-bill/1"/>
    <hyperlink ref="G76" r:id="rId70" display="https://www.epa.gov/regulations-emissions-vehicles-and-engines/final-rule-greenhouse-gas-emissions-standards-heavy"/>
    <hyperlink ref="G77" r:id="rId71" display="https://www.federalregister.gov/documents/2025/05/19/2025-08688/congressional-review-act-revocation-of-waste-emissions-charge-for-petroleum-and-natural-gas-systems"/>
    <hyperlink ref="G78" r:id="rId72" display="https://www.sustainability.gov/buyclean/"/>
    <hyperlink ref="G79" r:id="rId73" display="https://www.energy.gov/mesc/30d-new-clean-vehicle-credit"/>
    <hyperlink ref="G80" r:id="rId74" display="https://www.ogmpartnership.com/"/>
    <hyperlink ref="G81" r:id="rId75" display="https://www.usgs.gov/publications/mineral-commodity-summaries-2025"/>
    <hyperlink ref="G82" r:id="rId76" display="https://www.iccsafe.org/"/>
    <hyperlink ref="G83" r:id="rId77" display="https://carbonpricingdashboard.worldbank.org/"/>
    <hyperlink ref="G84" r:id="rId78" display="https://www.weforum.org/communities/first-movers-coalition/"/>
    <hyperlink ref="G85" r:id="rId79" display="https://worldsteel.org/data/world-steel-in-figures/"/>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 collapsed="false" customWidth="true" hidden="false" outlineLevel="0" max="10" min="10" style="0" width="12"/>
  </cols>
  <sheetData>
    <row r="1" customFormat="false" ht="19.7" hidden="false" customHeight="false" outlineLevel="0" collapsed="false">
      <c r="A1" s="1" t="s">
        <v>677</v>
      </c>
      <c r="H1" s="10" t="s">
        <v>678</v>
      </c>
    </row>
    <row r="2" customFormat="false" ht="31.5" hidden="false" customHeight="true" outlineLevel="0" collapsed="false">
      <c r="A2" s="11" t="s">
        <v>27</v>
      </c>
      <c r="B2" s="11" t="s">
        <v>28</v>
      </c>
      <c r="C2" s="11" t="s">
        <v>29</v>
      </c>
      <c r="D2" s="11" t="s">
        <v>30</v>
      </c>
      <c r="E2" s="11" t="s">
        <v>679</v>
      </c>
      <c r="F2" s="11" t="s">
        <v>680</v>
      </c>
      <c r="G2" s="11" t="s">
        <v>681</v>
      </c>
      <c r="H2" s="11" t="s">
        <v>682</v>
      </c>
      <c r="I2" s="11" t="s">
        <v>683</v>
      </c>
      <c r="J2" s="11" t="s">
        <v>684</v>
      </c>
    </row>
    <row r="3" customFormat="false" ht="45.75" hidden="false" customHeight="true" outlineLevel="0" collapsed="false">
      <c r="A3" s="24" t="s">
        <v>38</v>
      </c>
      <c r="B3" s="25" t="s">
        <v>39</v>
      </c>
      <c r="C3" s="24" t="s">
        <v>40</v>
      </c>
      <c r="D3" s="25" t="s">
        <v>41</v>
      </c>
      <c r="E3" s="25" t="s">
        <v>685</v>
      </c>
      <c r="F3" s="26" t="s">
        <v>686</v>
      </c>
      <c r="G3" s="27" t="s">
        <v>687</v>
      </c>
      <c r="H3" s="28" t="s">
        <v>688</v>
      </c>
      <c r="I3" s="29" t="s">
        <v>689</v>
      </c>
      <c r="J3" s="30" t="s">
        <v>690</v>
      </c>
    </row>
    <row r="4" customFormat="false" ht="45.75" hidden="false" customHeight="true" outlineLevel="0" collapsed="false">
      <c r="A4" s="24" t="s">
        <v>38</v>
      </c>
      <c r="B4" s="25" t="s">
        <v>39</v>
      </c>
      <c r="C4" s="24" t="s">
        <v>40</v>
      </c>
      <c r="D4" s="25" t="s">
        <v>41</v>
      </c>
      <c r="E4" s="25" t="s">
        <v>691</v>
      </c>
      <c r="F4" s="26" t="s">
        <v>686</v>
      </c>
      <c r="G4" s="27" t="s">
        <v>687</v>
      </c>
      <c r="H4" s="28" t="s">
        <v>692</v>
      </c>
      <c r="I4" s="29" t="s">
        <v>693</v>
      </c>
      <c r="J4" s="30" t="s">
        <v>690</v>
      </c>
    </row>
    <row r="5" customFormat="false" ht="45.75" hidden="false" customHeight="true" outlineLevel="0" collapsed="false">
      <c r="A5" s="24" t="s">
        <v>38</v>
      </c>
      <c r="B5" s="25" t="s">
        <v>39</v>
      </c>
      <c r="C5" s="24" t="s">
        <v>40</v>
      </c>
      <c r="D5" s="25" t="s">
        <v>41</v>
      </c>
      <c r="E5" s="25" t="s">
        <v>694</v>
      </c>
      <c r="F5" s="26" t="s">
        <v>686</v>
      </c>
      <c r="G5" s="31" t="s">
        <v>695</v>
      </c>
      <c r="H5" s="28" t="s">
        <v>696</v>
      </c>
      <c r="I5" s="29" t="s">
        <v>689</v>
      </c>
      <c r="J5" s="30" t="s">
        <v>690</v>
      </c>
    </row>
    <row r="6" customFormat="false" ht="45.75" hidden="false" customHeight="true" outlineLevel="0" collapsed="false">
      <c r="A6" s="24" t="s">
        <v>38</v>
      </c>
      <c r="B6" s="25" t="s">
        <v>39</v>
      </c>
      <c r="C6" s="24" t="s">
        <v>49</v>
      </c>
      <c r="D6" s="25" t="s">
        <v>50</v>
      </c>
      <c r="E6" s="25" t="s">
        <v>685</v>
      </c>
      <c r="F6" s="32" t="s">
        <v>697</v>
      </c>
      <c r="G6" s="31" t="s">
        <v>695</v>
      </c>
      <c r="H6" s="28" t="s">
        <v>698</v>
      </c>
      <c r="I6" s="29" t="s">
        <v>699</v>
      </c>
      <c r="J6" s="30" t="s">
        <v>690</v>
      </c>
    </row>
    <row r="7" customFormat="false" ht="45.75" hidden="false" customHeight="true" outlineLevel="0" collapsed="false">
      <c r="A7" s="24" t="s">
        <v>38</v>
      </c>
      <c r="B7" s="25" t="s">
        <v>39</v>
      </c>
      <c r="C7" s="24" t="s">
        <v>49</v>
      </c>
      <c r="D7" s="25" t="s">
        <v>50</v>
      </c>
      <c r="E7" s="25" t="s">
        <v>691</v>
      </c>
      <c r="F7" s="32" t="s">
        <v>697</v>
      </c>
      <c r="G7" s="31" t="s">
        <v>695</v>
      </c>
      <c r="H7" s="28" t="s">
        <v>700</v>
      </c>
      <c r="I7" s="29" t="s">
        <v>701</v>
      </c>
      <c r="J7" s="30" t="s">
        <v>690</v>
      </c>
    </row>
    <row r="8" customFormat="false" ht="45.75" hidden="false" customHeight="true" outlineLevel="0" collapsed="false">
      <c r="A8" s="24" t="s">
        <v>38</v>
      </c>
      <c r="B8" s="25" t="s">
        <v>39</v>
      </c>
      <c r="C8" s="24" t="s">
        <v>49</v>
      </c>
      <c r="D8" s="25" t="s">
        <v>50</v>
      </c>
      <c r="E8" s="25" t="s">
        <v>694</v>
      </c>
      <c r="F8" s="32" t="s">
        <v>697</v>
      </c>
      <c r="G8" s="31" t="s">
        <v>695</v>
      </c>
      <c r="H8" s="28" t="s">
        <v>702</v>
      </c>
      <c r="I8" s="29" t="s">
        <v>703</v>
      </c>
      <c r="J8" s="30" t="s">
        <v>690</v>
      </c>
    </row>
    <row r="9" customFormat="false" ht="45.75" hidden="false" customHeight="true" outlineLevel="0" collapsed="false">
      <c r="A9" s="24" t="s">
        <v>38</v>
      </c>
      <c r="B9" s="25" t="s">
        <v>58</v>
      </c>
      <c r="C9" s="24" t="s">
        <v>59</v>
      </c>
      <c r="D9" s="25" t="s">
        <v>60</v>
      </c>
      <c r="E9" s="25" t="s">
        <v>685</v>
      </c>
      <c r="F9" s="26" t="s">
        <v>686</v>
      </c>
      <c r="G9" s="27" t="s">
        <v>687</v>
      </c>
      <c r="H9" s="28" t="s">
        <v>704</v>
      </c>
      <c r="I9" s="29" t="s">
        <v>705</v>
      </c>
      <c r="J9" s="30" t="s">
        <v>690</v>
      </c>
    </row>
    <row r="10" customFormat="false" ht="45.75" hidden="false" customHeight="true" outlineLevel="0" collapsed="false">
      <c r="A10" s="24" t="s">
        <v>38</v>
      </c>
      <c r="B10" s="25" t="s">
        <v>58</v>
      </c>
      <c r="C10" s="24" t="s">
        <v>59</v>
      </c>
      <c r="D10" s="25" t="s">
        <v>60</v>
      </c>
      <c r="E10" s="25" t="s">
        <v>691</v>
      </c>
      <c r="F10" s="32" t="s">
        <v>697</v>
      </c>
      <c r="G10" s="27" t="s">
        <v>687</v>
      </c>
      <c r="H10" s="28" t="s">
        <v>706</v>
      </c>
      <c r="I10" s="29" t="s">
        <v>659</v>
      </c>
      <c r="J10" s="30" t="s">
        <v>690</v>
      </c>
    </row>
    <row r="11" customFormat="false" ht="45.75" hidden="false" customHeight="true" outlineLevel="0" collapsed="false">
      <c r="A11" s="24" t="s">
        <v>38</v>
      </c>
      <c r="B11" s="25" t="s">
        <v>58</v>
      </c>
      <c r="C11" s="24" t="s">
        <v>59</v>
      </c>
      <c r="D11" s="25" t="s">
        <v>60</v>
      </c>
      <c r="E11" s="25" t="s">
        <v>694</v>
      </c>
      <c r="F11" s="32" t="s">
        <v>697</v>
      </c>
      <c r="G11" s="27" t="s">
        <v>687</v>
      </c>
      <c r="H11" s="28" t="s">
        <v>707</v>
      </c>
      <c r="I11" s="29" t="s">
        <v>708</v>
      </c>
      <c r="J11" s="30" t="s">
        <v>690</v>
      </c>
    </row>
    <row r="12" customFormat="false" ht="45.75" hidden="false" customHeight="true" outlineLevel="0" collapsed="false">
      <c r="A12" s="24" t="s">
        <v>38</v>
      </c>
      <c r="B12" s="25" t="s">
        <v>58</v>
      </c>
      <c r="C12" s="24" t="s">
        <v>68</v>
      </c>
      <c r="D12" s="25" t="s">
        <v>69</v>
      </c>
      <c r="E12" s="25" t="s">
        <v>685</v>
      </c>
      <c r="F12" s="26" t="s">
        <v>686</v>
      </c>
      <c r="G12" s="27" t="s">
        <v>687</v>
      </c>
      <c r="H12" s="28" t="s">
        <v>709</v>
      </c>
      <c r="I12" s="29" t="s">
        <v>710</v>
      </c>
      <c r="J12" s="30" t="s">
        <v>690</v>
      </c>
    </row>
    <row r="13" customFormat="false" ht="45.75" hidden="false" customHeight="true" outlineLevel="0" collapsed="false">
      <c r="A13" s="24" t="s">
        <v>38</v>
      </c>
      <c r="B13" s="25" t="s">
        <v>58</v>
      </c>
      <c r="C13" s="24" t="s">
        <v>68</v>
      </c>
      <c r="D13" s="25" t="s">
        <v>69</v>
      </c>
      <c r="E13" s="25" t="s">
        <v>691</v>
      </c>
      <c r="F13" s="32" t="s">
        <v>697</v>
      </c>
      <c r="G13" s="27" t="s">
        <v>687</v>
      </c>
      <c r="H13" s="28" t="s">
        <v>711</v>
      </c>
      <c r="I13" s="29" t="s">
        <v>712</v>
      </c>
      <c r="J13" s="30" t="s">
        <v>690</v>
      </c>
    </row>
    <row r="14" customFormat="false" ht="45.75" hidden="false" customHeight="true" outlineLevel="0" collapsed="false">
      <c r="A14" s="24" t="s">
        <v>38</v>
      </c>
      <c r="B14" s="25" t="s">
        <v>58</v>
      </c>
      <c r="C14" s="24" t="s">
        <v>68</v>
      </c>
      <c r="D14" s="25" t="s">
        <v>69</v>
      </c>
      <c r="E14" s="25" t="s">
        <v>694</v>
      </c>
      <c r="F14" s="26" t="s">
        <v>686</v>
      </c>
      <c r="G14" s="27" t="s">
        <v>687</v>
      </c>
      <c r="H14" s="28" t="s">
        <v>713</v>
      </c>
      <c r="I14" s="29" t="s">
        <v>714</v>
      </c>
      <c r="J14" s="30" t="s">
        <v>690</v>
      </c>
    </row>
    <row r="15" customFormat="false" ht="45.75" hidden="false" customHeight="true" outlineLevel="0" collapsed="false">
      <c r="A15" s="24" t="s">
        <v>38</v>
      </c>
      <c r="B15" s="25" t="s">
        <v>77</v>
      </c>
      <c r="C15" s="24" t="s">
        <v>78</v>
      </c>
      <c r="D15" s="25" t="s">
        <v>79</v>
      </c>
      <c r="E15" s="25" t="s">
        <v>685</v>
      </c>
      <c r="F15" s="26" t="s">
        <v>686</v>
      </c>
      <c r="G15" s="31" t="s">
        <v>695</v>
      </c>
      <c r="H15" s="28" t="s">
        <v>715</v>
      </c>
      <c r="I15" s="29" t="s">
        <v>383</v>
      </c>
      <c r="J15" s="30" t="s">
        <v>690</v>
      </c>
    </row>
    <row r="16" customFormat="false" ht="45.75" hidden="false" customHeight="true" outlineLevel="0" collapsed="false">
      <c r="A16" s="24" t="s">
        <v>38</v>
      </c>
      <c r="B16" s="25" t="s">
        <v>77</v>
      </c>
      <c r="C16" s="24" t="s">
        <v>78</v>
      </c>
      <c r="D16" s="25" t="s">
        <v>79</v>
      </c>
      <c r="E16" s="25" t="s">
        <v>691</v>
      </c>
      <c r="F16" s="26" t="s">
        <v>686</v>
      </c>
      <c r="G16" s="31" t="s">
        <v>695</v>
      </c>
      <c r="H16" s="28" t="s">
        <v>716</v>
      </c>
      <c r="I16" s="29" t="s">
        <v>383</v>
      </c>
      <c r="J16" s="30" t="s">
        <v>690</v>
      </c>
    </row>
    <row r="17" customFormat="false" ht="45.75" hidden="false" customHeight="true" outlineLevel="0" collapsed="false">
      <c r="A17" s="24" t="s">
        <v>38</v>
      </c>
      <c r="B17" s="25" t="s">
        <v>77</v>
      </c>
      <c r="C17" s="24" t="s">
        <v>78</v>
      </c>
      <c r="D17" s="25" t="s">
        <v>79</v>
      </c>
      <c r="E17" s="25" t="s">
        <v>694</v>
      </c>
      <c r="F17" s="32" t="s">
        <v>697</v>
      </c>
      <c r="G17" s="33" t="s">
        <v>717</v>
      </c>
      <c r="H17" s="28" t="s">
        <v>718</v>
      </c>
      <c r="I17" s="29" t="s">
        <v>719</v>
      </c>
      <c r="J17" s="30" t="s">
        <v>690</v>
      </c>
    </row>
    <row r="18" customFormat="false" ht="45.75" hidden="false" customHeight="true" outlineLevel="0" collapsed="false">
      <c r="A18" s="24" t="s">
        <v>87</v>
      </c>
      <c r="B18" s="25" t="s">
        <v>39</v>
      </c>
      <c r="C18" s="24" t="s">
        <v>88</v>
      </c>
      <c r="D18" s="25" t="s">
        <v>89</v>
      </c>
      <c r="E18" s="25" t="s">
        <v>685</v>
      </c>
      <c r="F18" s="32" t="s">
        <v>697</v>
      </c>
      <c r="G18" s="31" t="s">
        <v>695</v>
      </c>
      <c r="H18" s="28" t="s">
        <v>720</v>
      </c>
      <c r="I18" s="29" t="s">
        <v>721</v>
      </c>
      <c r="J18" s="30" t="s">
        <v>690</v>
      </c>
    </row>
    <row r="19" customFormat="false" ht="45.75" hidden="false" customHeight="true" outlineLevel="0" collapsed="false">
      <c r="A19" s="24" t="s">
        <v>87</v>
      </c>
      <c r="B19" s="25" t="s">
        <v>39</v>
      </c>
      <c r="C19" s="24" t="s">
        <v>88</v>
      </c>
      <c r="D19" s="25" t="s">
        <v>89</v>
      </c>
      <c r="E19" s="25" t="s">
        <v>691</v>
      </c>
      <c r="F19" s="32" t="s">
        <v>697</v>
      </c>
      <c r="G19" s="27" t="s">
        <v>687</v>
      </c>
      <c r="H19" s="28" t="s">
        <v>722</v>
      </c>
      <c r="I19" s="29" t="s">
        <v>723</v>
      </c>
      <c r="J19" s="30" t="s">
        <v>690</v>
      </c>
    </row>
    <row r="20" customFormat="false" ht="45.75" hidden="false" customHeight="true" outlineLevel="0" collapsed="false">
      <c r="A20" s="24" t="s">
        <v>87</v>
      </c>
      <c r="B20" s="25" t="s">
        <v>39</v>
      </c>
      <c r="C20" s="24" t="s">
        <v>88</v>
      </c>
      <c r="D20" s="25" t="s">
        <v>89</v>
      </c>
      <c r="E20" s="25" t="s">
        <v>694</v>
      </c>
      <c r="F20" s="34" t="s">
        <v>724</v>
      </c>
      <c r="G20" s="33" t="s">
        <v>717</v>
      </c>
      <c r="H20" s="28" t="s">
        <v>725</v>
      </c>
      <c r="I20" s="29" t="s">
        <v>726</v>
      </c>
      <c r="J20" s="30" t="s">
        <v>690</v>
      </c>
    </row>
    <row r="21" customFormat="false" ht="45.75" hidden="false" customHeight="true" outlineLevel="0" collapsed="false">
      <c r="A21" s="24" t="s">
        <v>87</v>
      </c>
      <c r="B21" s="25" t="s">
        <v>39</v>
      </c>
      <c r="C21" s="24" t="s">
        <v>97</v>
      </c>
      <c r="D21" s="25" t="s">
        <v>98</v>
      </c>
      <c r="E21" s="25" t="s">
        <v>685</v>
      </c>
      <c r="F21" s="32" t="s">
        <v>697</v>
      </c>
      <c r="G21" s="31" t="s">
        <v>695</v>
      </c>
      <c r="H21" s="28" t="s">
        <v>727</v>
      </c>
      <c r="I21" s="29" t="s">
        <v>669</v>
      </c>
      <c r="J21" s="30" t="s">
        <v>690</v>
      </c>
    </row>
    <row r="22" customFormat="false" ht="45.75" hidden="false" customHeight="true" outlineLevel="0" collapsed="false">
      <c r="A22" s="24" t="s">
        <v>87</v>
      </c>
      <c r="B22" s="25" t="s">
        <v>39</v>
      </c>
      <c r="C22" s="24" t="s">
        <v>97</v>
      </c>
      <c r="D22" s="25" t="s">
        <v>98</v>
      </c>
      <c r="E22" s="25" t="s">
        <v>691</v>
      </c>
      <c r="F22" s="26" t="s">
        <v>686</v>
      </c>
      <c r="G22" s="27" t="s">
        <v>687</v>
      </c>
      <c r="H22" s="28" t="s">
        <v>728</v>
      </c>
      <c r="I22" s="29" t="s">
        <v>729</v>
      </c>
      <c r="J22" s="30" t="s">
        <v>690</v>
      </c>
    </row>
    <row r="23" customFormat="false" ht="45.75" hidden="false" customHeight="true" outlineLevel="0" collapsed="false">
      <c r="A23" s="24" t="s">
        <v>87</v>
      </c>
      <c r="B23" s="25" t="s">
        <v>39</v>
      </c>
      <c r="C23" s="24" t="s">
        <v>97</v>
      </c>
      <c r="D23" s="25" t="s">
        <v>98</v>
      </c>
      <c r="E23" s="25" t="s">
        <v>694</v>
      </c>
      <c r="F23" s="34" t="s">
        <v>724</v>
      </c>
      <c r="G23" s="31" t="s">
        <v>695</v>
      </c>
      <c r="H23" s="28" t="s">
        <v>730</v>
      </c>
      <c r="I23" s="29" t="s">
        <v>731</v>
      </c>
      <c r="J23" s="30" t="s">
        <v>690</v>
      </c>
    </row>
    <row r="24" customFormat="false" ht="45.75" hidden="false" customHeight="true" outlineLevel="0" collapsed="false">
      <c r="A24" s="24" t="s">
        <v>87</v>
      </c>
      <c r="B24" s="25" t="s">
        <v>58</v>
      </c>
      <c r="C24" s="24" t="s">
        <v>106</v>
      </c>
      <c r="D24" s="25" t="s">
        <v>107</v>
      </c>
      <c r="E24" s="25" t="s">
        <v>685</v>
      </c>
      <c r="F24" s="26" t="s">
        <v>686</v>
      </c>
      <c r="G24" s="27" t="s">
        <v>687</v>
      </c>
      <c r="H24" s="28" t="s">
        <v>732</v>
      </c>
      <c r="I24" s="29" t="s">
        <v>733</v>
      </c>
      <c r="J24" s="30" t="s">
        <v>690</v>
      </c>
    </row>
    <row r="25" customFormat="false" ht="45.75" hidden="false" customHeight="true" outlineLevel="0" collapsed="false">
      <c r="A25" s="24" t="s">
        <v>87</v>
      </c>
      <c r="B25" s="25" t="s">
        <v>58</v>
      </c>
      <c r="C25" s="24" t="s">
        <v>106</v>
      </c>
      <c r="D25" s="25" t="s">
        <v>107</v>
      </c>
      <c r="E25" s="25" t="s">
        <v>691</v>
      </c>
      <c r="F25" s="34" t="s">
        <v>724</v>
      </c>
      <c r="G25" s="27" t="s">
        <v>687</v>
      </c>
      <c r="H25" s="28" t="s">
        <v>734</v>
      </c>
      <c r="I25" s="29" t="s">
        <v>659</v>
      </c>
      <c r="J25" s="30" t="s">
        <v>690</v>
      </c>
    </row>
    <row r="26" customFormat="false" ht="45.75" hidden="false" customHeight="true" outlineLevel="0" collapsed="false">
      <c r="A26" s="24" t="s">
        <v>87</v>
      </c>
      <c r="B26" s="25" t="s">
        <v>58</v>
      </c>
      <c r="C26" s="24" t="s">
        <v>106</v>
      </c>
      <c r="D26" s="25" t="s">
        <v>107</v>
      </c>
      <c r="E26" s="25" t="s">
        <v>694</v>
      </c>
      <c r="F26" s="34" t="s">
        <v>724</v>
      </c>
      <c r="G26" s="27" t="s">
        <v>687</v>
      </c>
      <c r="H26" s="28" t="s">
        <v>735</v>
      </c>
      <c r="I26" s="29" t="s">
        <v>736</v>
      </c>
      <c r="J26" s="30" t="s">
        <v>690</v>
      </c>
    </row>
    <row r="27" customFormat="false" ht="45.75" hidden="false" customHeight="true" outlineLevel="0" collapsed="false">
      <c r="A27" s="24" t="s">
        <v>87</v>
      </c>
      <c r="B27" s="25" t="s">
        <v>58</v>
      </c>
      <c r="C27" s="24" t="s">
        <v>115</v>
      </c>
      <c r="D27" s="25" t="s">
        <v>116</v>
      </c>
      <c r="E27" s="25" t="s">
        <v>685</v>
      </c>
      <c r="F27" s="32" t="s">
        <v>697</v>
      </c>
      <c r="G27" s="31" t="s">
        <v>695</v>
      </c>
      <c r="H27" s="28" t="s">
        <v>737</v>
      </c>
      <c r="I27" s="29" t="s">
        <v>738</v>
      </c>
      <c r="J27" s="30" t="s">
        <v>690</v>
      </c>
    </row>
    <row r="28" customFormat="false" ht="45.75" hidden="false" customHeight="true" outlineLevel="0" collapsed="false">
      <c r="A28" s="24" t="s">
        <v>87</v>
      </c>
      <c r="B28" s="25" t="s">
        <v>58</v>
      </c>
      <c r="C28" s="24" t="s">
        <v>115</v>
      </c>
      <c r="D28" s="25" t="s">
        <v>116</v>
      </c>
      <c r="E28" s="25" t="s">
        <v>691</v>
      </c>
      <c r="F28" s="32" t="s">
        <v>697</v>
      </c>
      <c r="G28" s="31" t="s">
        <v>695</v>
      </c>
      <c r="H28" s="28" t="s">
        <v>739</v>
      </c>
      <c r="I28" s="29" t="s">
        <v>740</v>
      </c>
      <c r="J28" s="30" t="s">
        <v>690</v>
      </c>
    </row>
    <row r="29" customFormat="false" ht="45.75" hidden="false" customHeight="true" outlineLevel="0" collapsed="false">
      <c r="A29" s="24" t="s">
        <v>87</v>
      </c>
      <c r="B29" s="25" t="s">
        <v>58</v>
      </c>
      <c r="C29" s="24" t="s">
        <v>115</v>
      </c>
      <c r="D29" s="25" t="s">
        <v>116</v>
      </c>
      <c r="E29" s="25" t="s">
        <v>694</v>
      </c>
      <c r="F29" s="34" t="s">
        <v>724</v>
      </c>
      <c r="G29" s="33" t="s">
        <v>717</v>
      </c>
      <c r="H29" s="28" t="s">
        <v>741</v>
      </c>
      <c r="I29" s="29" t="s">
        <v>742</v>
      </c>
      <c r="J29" s="30" t="s">
        <v>690</v>
      </c>
    </row>
    <row r="30" customFormat="false" ht="45.75" hidden="false" customHeight="true" outlineLevel="0" collapsed="false">
      <c r="A30" s="24" t="s">
        <v>87</v>
      </c>
      <c r="B30" s="25" t="s">
        <v>77</v>
      </c>
      <c r="C30" s="24" t="s">
        <v>124</v>
      </c>
      <c r="D30" s="25" t="s">
        <v>125</v>
      </c>
      <c r="E30" s="25" t="s">
        <v>685</v>
      </c>
      <c r="F30" s="26" t="s">
        <v>686</v>
      </c>
      <c r="G30" s="27" t="s">
        <v>687</v>
      </c>
      <c r="H30" s="28" t="s">
        <v>743</v>
      </c>
      <c r="I30" s="29" t="s">
        <v>744</v>
      </c>
      <c r="J30" s="30" t="s">
        <v>690</v>
      </c>
    </row>
    <row r="31" customFormat="false" ht="45.75" hidden="false" customHeight="true" outlineLevel="0" collapsed="false">
      <c r="A31" s="24" t="s">
        <v>87</v>
      </c>
      <c r="B31" s="25" t="s">
        <v>77</v>
      </c>
      <c r="C31" s="24" t="s">
        <v>124</v>
      </c>
      <c r="D31" s="25" t="s">
        <v>125</v>
      </c>
      <c r="E31" s="25" t="s">
        <v>691</v>
      </c>
      <c r="F31" s="32" t="s">
        <v>697</v>
      </c>
      <c r="G31" s="31" t="s">
        <v>695</v>
      </c>
      <c r="H31" s="28" t="s">
        <v>745</v>
      </c>
      <c r="I31" s="29" t="s">
        <v>746</v>
      </c>
      <c r="J31" s="30" t="s">
        <v>690</v>
      </c>
    </row>
    <row r="32" customFormat="false" ht="45.75" hidden="false" customHeight="true" outlineLevel="0" collapsed="false">
      <c r="A32" s="24" t="s">
        <v>87</v>
      </c>
      <c r="B32" s="25" t="s">
        <v>77</v>
      </c>
      <c r="C32" s="24" t="s">
        <v>124</v>
      </c>
      <c r="D32" s="25" t="s">
        <v>125</v>
      </c>
      <c r="E32" s="25" t="s">
        <v>694</v>
      </c>
      <c r="F32" s="34" t="s">
        <v>724</v>
      </c>
      <c r="G32" s="31" t="s">
        <v>695</v>
      </c>
      <c r="H32" s="28" t="s">
        <v>747</v>
      </c>
      <c r="I32" s="29" t="s">
        <v>748</v>
      </c>
      <c r="J32" s="30" t="s">
        <v>690</v>
      </c>
    </row>
    <row r="33" customFormat="false" ht="45.75" hidden="false" customHeight="true" outlineLevel="0" collapsed="false">
      <c r="A33" s="24" t="s">
        <v>133</v>
      </c>
      <c r="B33" s="25" t="s">
        <v>39</v>
      </c>
      <c r="C33" s="24" t="s">
        <v>134</v>
      </c>
      <c r="D33" s="25" t="s">
        <v>135</v>
      </c>
      <c r="E33" s="25" t="s">
        <v>685</v>
      </c>
      <c r="F33" s="26" t="s">
        <v>686</v>
      </c>
      <c r="G33" s="27" t="s">
        <v>687</v>
      </c>
      <c r="H33" s="28" t="s">
        <v>749</v>
      </c>
      <c r="I33" s="29" t="s">
        <v>750</v>
      </c>
      <c r="J33" s="30" t="s">
        <v>690</v>
      </c>
    </row>
    <row r="34" customFormat="false" ht="45.75" hidden="false" customHeight="true" outlineLevel="0" collapsed="false">
      <c r="A34" s="24" t="s">
        <v>133</v>
      </c>
      <c r="B34" s="25" t="s">
        <v>39</v>
      </c>
      <c r="C34" s="24" t="s">
        <v>134</v>
      </c>
      <c r="D34" s="25" t="s">
        <v>135</v>
      </c>
      <c r="E34" s="25" t="s">
        <v>691</v>
      </c>
      <c r="F34" s="32" t="s">
        <v>697</v>
      </c>
      <c r="G34" s="31" t="s">
        <v>695</v>
      </c>
      <c r="H34" s="28" t="s">
        <v>751</v>
      </c>
      <c r="I34" s="29" t="s">
        <v>752</v>
      </c>
      <c r="J34" s="30" t="s">
        <v>690</v>
      </c>
    </row>
    <row r="35" customFormat="false" ht="45.75" hidden="false" customHeight="true" outlineLevel="0" collapsed="false">
      <c r="A35" s="24" t="s">
        <v>133</v>
      </c>
      <c r="B35" s="25" t="s">
        <v>39</v>
      </c>
      <c r="C35" s="24" t="s">
        <v>134</v>
      </c>
      <c r="D35" s="25" t="s">
        <v>135</v>
      </c>
      <c r="E35" s="25" t="s">
        <v>694</v>
      </c>
      <c r="F35" s="34" t="s">
        <v>724</v>
      </c>
      <c r="G35" s="33" t="s">
        <v>717</v>
      </c>
      <c r="H35" s="28" t="s">
        <v>753</v>
      </c>
      <c r="I35" s="29" t="s">
        <v>754</v>
      </c>
      <c r="J35" s="30" t="s">
        <v>690</v>
      </c>
    </row>
    <row r="36" customFormat="false" ht="45.75" hidden="false" customHeight="true" outlineLevel="0" collapsed="false">
      <c r="A36" s="24" t="s">
        <v>133</v>
      </c>
      <c r="B36" s="25" t="s">
        <v>39</v>
      </c>
      <c r="C36" s="24" t="s">
        <v>143</v>
      </c>
      <c r="D36" s="25" t="s">
        <v>144</v>
      </c>
      <c r="E36" s="25" t="s">
        <v>685</v>
      </c>
      <c r="F36" s="32" t="s">
        <v>697</v>
      </c>
      <c r="G36" s="31" t="s">
        <v>695</v>
      </c>
      <c r="H36" s="28" t="s">
        <v>755</v>
      </c>
      <c r="I36" s="29" t="s">
        <v>756</v>
      </c>
      <c r="J36" s="30" t="s">
        <v>690</v>
      </c>
    </row>
    <row r="37" customFormat="false" ht="45.75" hidden="false" customHeight="true" outlineLevel="0" collapsed="false">
      <c r="A37" s="24" t="s">
        <v>133</v>
      </c>
      <c r="B37" s="25" t="s">
        <v>39</v>
      </c>
      <c r="C37" s="24" t="s">
        <v>143</v>
      </c>
      <c r="D37" s="25" t="s">
        <v>144</v>
      </c>
      <c r="E37" s="25" t="s">
        <v>691</v>
      </c>
      <c r="F37" s="32" t="s">
        <v>697</v>
      </c>
      <c r="G37" s="31" t="s">
        <v>695</v>
      </c>
      <c r="H37" s="28" t="s">
        <v>757</v>
      </c>
      <c r="I37" s="29" t="s">
        <v>758</v>
      </c>
      <c r="J37" s="30" t="s">
        <v>690</v>
      </c>
    </row>
    <row r="38" customFormat="false" ht="45.75" hidden="false" customHeight="true" outlineLevel="0" collapsed="false">
      <c r="A38" s="24" t="s">
        <v>133</v>
      </c>
      <c r="B38" s="25" t="s">
        <v>39</v>
      </c>
      <c r="C38" s="24" t="s">
        <v>143</v>
      </c>
      <c r="D38" s="25" t="s">
        <v>144</v>
      </c>
      <c r="E38" s="25" t="s">
        <v>694</v>
      </c>
      <c r="F38" s="32" t="s">
        <v>697</v>
      </c>
      <c r="G38" s="33" t="s">
        <v>717</v>
      </c>
      <c r="H38" s="28" t="s">
        <v>759</v>
      </c>
      <c r="I38" s="29" t="s">
        <v>760</v>
      </c>
      <c r="J38" s="30" t="s">
        <v>690</v>
      </c>
    </row>
    <row r="39" customFormat="false" ht="45.75" hidden="false" customHeight="true" outlineLevel="0" collapsed="false">
      <c r="A39" s="24" t="s">
        <v>133</v>
      </c>
      <c r="B39" s="25" t="s">
        <v>58</v>
      </c>
      <c r="C39" s="24" t="s">
        <v>152</v>
      </c>
      <c r="D39" s="25" t="s">
        <v>153</v>
      </c>
      <c r="E39" s="25" t="s">
        <v>685</v>
      </c>
      <c r="F39" s="26" t="s">
        <v>686</v>
      </c>
      <c r="G39" s="27" t="s">
        <v>687</v>
      </c>
      <c r="H39" s="28" t="s">
        <v>761</v>
      </c>
      <c r="I39" s="29" t="s">
        <v>762</v>
      </c>
      <c r="J39" s="30" t="s">
        <v>690</v>
      </c>
    </row>
    <row r="40" customFormat="false" ht="45.75" hidden="false" customHeight="true" outlineLevel="0" collapsed="false">
      <c r="A40" s="24" t="s">
        <v>133</v>
      </c>
      <c r="B40" s="25" t="s">
        <v>58</v>
      </c>
      <c r="C40" s="24" t="s">
        <v>152</v>
      </c>
      <c r="D40" s="25" t="s">
        <v>153</v>
      </c>
      <c r="E40" s="25" t="s">
        <v>691</v>
      </c>
      <c r="F40" s="34" t="s">
        <v>724</v>
      </c>
      <c r="G40" s="27" t="s">
        <v>687</v>
      </c>
      <c r="H40" s="28" t="s">
        <v>763</v>
      </c>
      <c r="I40" s="29" t="s">
        <v>659</v>
      </c>
      <c r="J40" s="30" t="s">
        <v>690</v>
      </c>
    </row>
    <row r="41" customFormat="false" ht="45.75" hidden="false" customHeight="true" outlineLevel="0" collapsed="false">
      <c r="A41" s="24" t="s">
        <v>133</v>
      </c>
      <c r="B41" s="25" t="s">
        <v>58</v>
      </c>
      <c r="C41" s="24" t="s">
        <v>152</v>
      </c>
      <c r="D41" s="25" t="s">
        <v>153</v>
      </c>
      <c r="E41" s="25" t="s">
        <v>694</v>
      </c>
      <c r="F41" s="34" t="s">
        <v>724</v>
      </c>
      <c r="G41" s="27" t="s">
        <v>687</v>
      </c>
      <c r="H41" s="28" t="s">
        <v>764</v>
      </c>
      <c r="I41" s="29" t="s">
        <v>765</v>
      </c>
      <c r="J41" s="30" t="s">
        <v>690</v>
      </c>
    </row>
    <row r="42" customFormat="false" ht="45.75" hidden="false" customHeight="true" outlineLevel="0" collapsed="false">
      <c r="A42" s="24" t="s">
        <v>133</v>
      </c>
      <c r="B42" s="25" t="s">
        <v>58</v>
      </c>
      <c r="C42" s="24" t="s">
        <v>160</v>
      </c>
      <c r="D42" s="25" t="s">
        <v>161</v>
      </c>
      <c r="E42" s="25" t="s">
        <v>685</v>
      </c>
      <c r="F42" s="26" t="s">
        <v>686</v>
      </c>
      <c r="G42" s="27" t="s">
        <v>687</v>
      </c>
      <c r="H42" s="28" t="s">
        <v>766</v>
      </c>
      <c r="I42" s="29" t="s">
        <v>767</v>
      </c>
      <c r="J42" s="30" t="s">
        <v>690</v>
      </c>
    </row>
    <row r="43" customFormat="false" ht="45.75" hidden="false" customHeight="true" outlineLevel="0" collapsed="false">
      <c r="A43" s="24" t="s">
        <v>133</v>
      </c>
      <c r="B43" s="25" t="s">
        <v>58</v>
      </c>
      <c r="C43" s="24" t="s">
        <v>160</v>
      </c>
      <c r="D43" s="25" t="s">
        <v>161</v>
      </c>
      <c r="E43" s="25" t="s">
        <v>691</v>
      </c>
      <c r="F43" s="32" t="s">
        <v>697</v>
      </c>
      <c r="G43" s="31" t="s">
        <v>695</v>
      </c>
      <c r="H43" s="28" t="s">
        <v>768</v>
      </c>
      <c r="I43" s="29" t="s">
        <v>769</v>
      </c>
      <c r="J43" s="30" t="s">
        <v>690</v>
      </c>
    </row>
    <row r="44" customFormat="false" ht="45.75" hidden="false" customHeight="true" outlineLevel="0" collapsed="false">
      <c r="A44" s="24" t="s">
        <v>133</v>
      </c>
      <c r="B44" s="25" t="s">
        <v>58</v>
      </c>
      <c r="C44" s="24" t="s">
        <v>160</v>
      </c>
      <c r="D44" s="25" t="s">
        <v>161</v>
      </c>
      <c r="E44" s="25" t="s">
        <v>694</v>
      </c>
      <c r="F44" s="34" t="s">
        <v>724</v>
      </c>
      <c r="G44" s="33" t="s">
        <v>717</v>
      </c>
      <c r="H44" s="28" t="s">
        <v>770</v>
      </c>
      <c r="I44" s="29" t="s">
        <v>771</v>
      </c>
      <c r="J44" s="30" t="s">
        <v>690</v>
      </c>
    </row>
    <row r="45" customFormat="false" ht="45.75" hidden="false" customHeight="true" outlineLevel="0" collapsed="false">
      <c r="A45" s="24" t="s">
        <v>133</v>
      </c>
      <c r="B45" s="25" t="s">
        <v>77</v>
      </c>
      <c r="C45" s="24" t="s">
        <v>169</v>
      </c>
      <c r="D45" s="25" t="s">
        <v>170</v>
      </c>
      <c r="E45" s="25" t="s">
        <v>685</v>
      </c>
      <c r="F45" s="32" t="s">
        <v>697</v>
      </c>
      <c r="G45" s="31" t="s">
        <v>695</v>
      </c>
      <c r="H45" s="28" t="s">
        <v>772</v>
      </c>
      <c r="I45" s="29" t="s">
        <v>773</v>
      </c>
      <c r="J45" s="30" t="s">
        <v>690</v>
      </c>
    </row>
    <row r="46" customFormat="false" ht="45.75" hidden="false" customHeight="true" outlineLevel="0" collapsed="false">
      <c r="A46" s="24" t="s">
        <v>133</v>
      </c>
      <c r="B46" s="25" t="s">
        <v>77</v>
      </c>
      <c r="C46" s="24" t="s">
        <v>169</v>
      </c>
      <c r="D46" s="25" t="s">
        <v>170</v>
      </c>
      <c r="E46" s="25" t="s">
        <v>691</v>
      </c>
      <c r="F46" s="32" t="s">
        <v>697</v>
      </c>
      <c r="G46" s="31" t="s">
        <v>695</v>
      </c>
      <c r="H46" s="28" t="s">
        <v>774</v>
      </c>
      <c r="I46" s="29" t="s">
        <v>775</v>
      </c>
      <c r="J46" s="30" t="s">
        <v>690</v>
      </c>
    </row>
    <row r="47" customFormat="false" ht="45.75" hidden="false" customHeight="true" outlineLevel="0" collapsed="false">
      <c r="A47" s="24" t="s">
        <v>133</v>
      </c>
      <c r="B47" s="25" t="s">
        <v>77</v>
      </c>
      <c r="C47" s="24" t="s">
        <v>169</v>
      </c>
      <c r="D47" s="25" t="s">
        <v>170</v>
      </c>
      <c r="E47" s="25" t="s">
        <v>694</v>
      </c>
      <c r="F47" s="34" t="s">
        <v>724</v>
      </c>
      <c r="G47" s="33" t="s">
        <v>717</v>
      </c>
      <c r="H47" s="28" t="s">
        <v>776</v>
      </c>
      <c r="I47" s="29" t="s">
        <v>777</v>
      </c>
      <c r="J47" s="30" t="s">
        <v>690</v>
      </c>
    </row>
    <row r="48" customFormat="false" ht="45.75" hidden="false" customHeight="true" outlineLevel="0" collapsed="false">
      <c r="A48" s="24" t="s">
        <v>178</v>
      </c>
      <c r="B48" s="25" t="s">
        <v>39</v>
      </c>
      <c r="C48" s="24" t="s">
        <v>179</v>
      </c>
      <c r="D48" s="25" t="s">
        <v>180</v>
      </c>
      <c r="E48" s="25" t="s">
        <v>685</v>
      </c>
      <c r="F48" s="32" t="s">
        <v>697</v>
      </c>
      <c r="G48" s="31" t="s">
        <v>695</v>
      </c>
      <c r="H48" s="28" t="s">
        <v>778</v>
      </c>
      <c r="I48" s="29" t="s">
        <v>779</v>
      </c>
      <c r="J48" s="30" t="s">
        <v>690</v>
      </c>
    </row>
    <row r="49" customFormat="false" ht="45.75" hidden="false" customHeight="true" outlineLevel="0" collapsed="false">
      <c r="A49" s="24" t="s">
        <v>178</v>
      </c>
      <c r="B49" s="25" t="s">
        <v>39</v>
      </c>
      <c r="C49" s="24" t="s">
        <v>179</v>
      </c>
      <c r="D49" s="25" t="s">
        <v>180</v>
      </c>
      <c r="E49" s="25" t="s">
        <v>691</v>
      </c>
      <c r="F49" s="32" t="s">
        <v>697</v>
      </c>
      <c r="G49" s="27" t="s">
        <v>687</v>
      </c>
      <c r="H49" s="28" t="s">
        <v>780</v>
      </c>
      <c r="I49" s="29" t="s">
        <v>781</v>
      </c>
      <c r="J49" s="30" t="s">
        <v>690</v>
      </c>
    </row>
    <row r="50" customFormat="false" ht="45.75" hidden="false" customHeight="true" outlineLevel="0" collapsed="false">
      <c r="A50" s="24" t="s">
        <v>178</v>
      </c>
      <c r="B50" s="25" t="s">
        <v>39</v>
      </c>
      <c r="C50" s="24" t="s">
        <v>179</v>
      </c>
      <c r="D50" s="25" t="s">
        <v>180</v>
      </c>
      <c r="E50" s="25" t="s">
        <v>694</v>
      </c>
      <c r="F50" s="34" t="s">
        <v>724</v>
      </c>
      <c r="G50" s="33" t="s">
        <v>717</v>
      </c>
      <c r="H50" s="28" t="s">
        <v>782</v>
      </c>
      <c r="I50" s="29" t="s">
        <v>726</v>
      </c>
      <c r="J50" s="30" t="s">
        <v>690</v>
      </c>
    </row>
    <row r="51" customFormat="false" ht="45.75" hidden="false" customHeight="true" outlineLevel="0" collapsed="false">
      <c r="A51" s="24" t="s">
        <v>178</v>
      </c>
      <c r="B51" s="25" t="s">
        <v>39</v>
      </c>
      <c r="C51" s="24" t="s">
        <v>188</v>
      </c>
      <c r="D51" s="25" t="s">
        <v>189</v>
      </c>
      <c r="E51" s="25" t="s">
        <v>685</v>
      </c>
      <c r="F51" s="32" t="s">
        <v>697</v>
      </c>
      <c r="G51" s="31" t="s">
        <v>695</v>
      </c>
      <c r="H51" s="28" t="s">
        <v>783</v>
      </c>
      <c r="I51" s="29" t="s">
        <v>784</v>
      </c>
      <c r="J51" s="30" t="s">
        <v>690</v>
      </c>
    </row>
    <row r="52" customFormat="false" ht="45.75" hidden="false" customHeight="true" outlineLevel="0" collapsed="false">
      <c r="A52" s="24" t="s">
        <v>178</v>
      </c>
      <c r="B52" s="25" t="s">
        <v>39</v>
      </c>
      <c r="C52" s="24" t="s">
        <v>188</v>
      </c>
      <c r="D52" s="25" t="s">
        <v>189</v>
      </c>
      <c r="E52" s="25" t="s">
        <v>691</v>
      </c>
      <c r="F52" s="34" t="s">
        <v>724</v>
      </c>
      <c r="G52" s="33" t="s">
        <v>717</v>
      </c>
      <c r="H52" s="28" t="s">
        <v>785</v>
      </c>
      <c r="I52" s="29" t="s">
        <v>777</v>
      </c>
      <c r="J52" s="30" t="s">
        <v>690</v>
      </c>
    </row>
    <row r="53" customFormat="false" ht="45.75" hidden="false" customHeight="true" outlineLevel="0" collapsed="false">
      <c r="A53" s="24" t="s">
        <v>178</v>
      </c>
      <c r="B53" s="25" t="s">
        <v>39</v>
      </c>
      <c r="C53" s="24" t="s">
        <v>188</v>
      </c>
      <c r="D53" s="25" t="s">
        <v>189</v>
      </c>
      <c r="E53" s="25" t="s">
        <v>694</v>
      </c>
      <c r="F53" s="34" t="s">
        <v>724</v>
      </c>
      <c r="G53" s="33" t="s">
        <v>717</v>
      </c>
      <c r="H53" s="28" t="s">
        <v>786</v>
      </c>
      <c r="I53" s="29" t="s">
        <v>777</v>
      </c>
      <c r="J53" s="30" t="s">
        <v>690</v>
      </c>
    </row>
    <row r="54" customFormat="false" ht="45.75" hidden="false" customHeight="true" outlineLevel="0" collapsed="false">
      <c r="A54" s="24" t="s">
        <v>178</v>
      </c>
      <c r="B54" s="25" t="s">
        <v>58</v>
      </c>
      <c r="C54" s="24" t="s">
        <v>197</v>
      </c>
      <c r="D54" s="25" t="s">
        <v>198</v>
      </c>
      <c r="E54" s="25" t="s">
        <v>685</v>
      </c>
      <c r="F54" s="32" t="s">
        <v>697</v>
      </c>
      <c r="G54" s="31" t="s">
        <v>695</v>
      </c>
      <c r="H54" s="28" t="s">
        <v>787</v>
      </c>
      <c r="I54" s="29" t="s">
        <v>788</v>
      </c>
      <c r="J54" s="30" t="s">
        <v>690</v>
      </c>
    </row>
    <row r="55" customFormat="false" ht="45.75" hidden="false" customHeight="true" outlineLevel="0" collapsed="false">
      <c r="A55" s="24" t="s">
        <v>178</v>
      </c>
      <c r="B55" s="25" t="s">
        <v>58</v>
      </c>
      <c r="C55" s="24" t="s">
        <v>197</v>
      </c>
      <c r="D55" s="25" t="s">
        <v>198</v>
      </c>
      <c r="E55" s="25" t="s">
        <v>691</v>
      </c>
      <c r="F55" s="34" t="s">
        <v>724</v>
      </c>
      <c r="G55" s="27" t="s">
        <v>687</v>
      </c>
      <c r="H55" s="28" t="s">
        <v>789</v>
      </c>
      <c r="I55" s="29" t="s">
        <v>659</v>
      </c>
      <c r="J55" s="30" t="s">
        <v>690</v>
      </c>
    </row>
    <row r="56" customFormat="false" ht="45.75" hidden="false" customHeight="true" outlineLevel="0" collapsed="false">
      <c r="A56" s="24" t="s">
        <v>178</v>
      </c>
      <c r="B56" s="25" t="s">
        <v>58</v>
      </c>
      <c r="C56" s="24" t="s">
        <v>197</v>
      </c>
      <c r="D56" s="25" t="s">
        <v>198</v>
      </c>
      <c r="E56" s="25" t="s">
        <v>694</v>
      </c>
      <c r="F56" s="34" t="s">
        <v>724</v>
      </c>
      <c r="G56" s="31" t="s">
        <v>695</v>
      </c>
      <c r="H56" s="28" t="s">
        <v>790</v>
      </c>
      <c r="I56" s="29" t="s">
        <v>791</v>
      </c>
      <c r="J56" s="30" t="s">
        <v>690</v>
      </c>
    </row>
    <row r="57" customFormat="false" ht="45.75" hidden="false" customHeight="true" outlineLevel="0" collapsed="false">
      <c r="A57" s="24" t="s">
        <v>178</v>
      </c>
      <c r="B57" s="25" t="s">
        <v>77</v>
      </c>
      <c r="C57" s="24" t="s">
        <v>205</v>
      </c>
      <c r="D57" s="25" t="s">
        <v>206</v>
      </c>
      <c r="E57" s="25" t="s">
        <v>685</v>
      </c>
      <c r="F57" s="32" t="s">
        <v>697</v>
      </c>
      <c r="G57" s="31" t="s">
        <v>695</v>
      </c>
      <c r="H57" s="28" t="s">
        <v>792</v>
      </c>
      <c r="I57" s="29" t="s">
        <v>472</v>
      </c>
      <c r="J57" s="30" t="s">
        <v>690</v>
      </c>
    </row>
    <row r="58" customFormat="false" ht="45.75" hidden="false" customHeight="true" outlineLevel="0" collapsed="false">
      <c r="A58" s="24" t="s">
        <v>178</v>
      </c>
      <c r="B58" s="25" t="s">
        <v>77</v>
      </c>
      <c r="C58" s="24" t="s">
        <v>205</v>
      </c>
      <c r="D58" s="25" t="s">
        <v>206</v>
      </c>
      <c r="E58" s="25" t="s">
        <v>691</v>
      </c>
      <c r="F58" s="34" t="s">
        <v>724</v>
      </c>
      <c r="G58" s="33" t="s">
        <v>717</v>
      </c>
      <c r="H58" s="28" t="s">
        <v>793</v>
      </c>
      <c r="I58" s="29" t="s">
        <v>794</v>
      </c>
      <c r="J58" s="30" t="s">
        <v>690</v>
      </c>
    </row>
    <row r="59" customFormat="false" ht="45.75" hidden="false" customHeight="true" outlineLevel="0" collapsed="false">
      <c r="A59" s="24" t="s">
        <v>178</v>
      </c>
      <c r="B59" s="25" t="s">
        <v>77</v>
      </c>
      <c r="C59" s="24" t="s">
        <v>205</v>
      </c>
      <c r="D59" s="25" t="s">
        <v>206</v>
      </c>
      <c r="E59" s="25" t="s">
        <v>694</v>
      </c>
      <c r="F59" s="34" t="s">
        <v>724</v>
      </c>
      <c r="G59" s="33" t="s">
        <v>717</v>
      </c>
      <c r="H59" s="28" t="s">
        <v>795</v>
      </c>
      <c r="I59" s="29" t="s">
        <v>777</v>
      </c>
      <c r="J59" s="30" t="s">
        <v>690</v>
      </c>
    </row>
    <row r="60" customFormat="false" ht="45.75" hidden="false" customHeight="true" outlineLevel="0" collapsed="false">
      <c r="A60" s="24" t="s">
        <v>214</v>
      </c>
      <c r="B60" s="25" t="s">
        <v>39</v>
      </c>
      <c r="C60" s="24" t="s">
        <v>215</v>
      </c>
      <c r="D60" s="25" t="s">
        <v>216</v>
      </c>
      <c r="E60" s="25" t="s">
        <v>685</v>
      </c>
      <c r="F60" s="32" t="s">
        <v>697</v>
      </c>
      <c r="G60" s="33" t="s">
        <v>717</v>
      </c>
      <c r="H60" s="28" t="s">
        <v>796</v>
      </c>
      <c r="I60" s="29" t="s">
        <v>797</v>
      </c>
      <c r="J60" s="30" t="s">
        <v>690</v>
      </c>
    </row>
    <row r="61" customFormat="false" ht="45.75" hidden="false" customHeight="true" outlineLevel="0" collapsed="false">
      <c r="A61" s="24" t="s">
        <v>214</v>
      </c>
      <c r="B61" s="25" t="s">
        <v>39</v>
      </c>
      <c r="C61" s="24" t="s">
        <v>215</v>
      </c>
      <c r="D61" s="25" t="s">
        <v>216</v>
      </c>
      <c r="E61" s="25" t="s">
        <v>691</v>
      </c>
      <c r="F61" s="32" t="s">
        <v>697</v>
      </c>
      <c r="G61" s="33" t="s">
        <v>717</v>
      </c>
      <c r="H61" s="28" t="s">
        <v>798</v>
      </c>
      <c r="I61" s="29" t="s">
        <v>799</v>
      </c>
      <c r="J61" s="30" t="s">
        <v>690</v>
      </c>
    </row>
    <row r="62" customFormat="false" ht="45.75" hidden="false" customHeight="true" outlineLevel="0" collapsed="false">
      <c r="A62" s="24" t="s">
        <v>214</v>
      </c>
      <c r="B62" s="25" t="s">
        <v>39</v>
      </c>
      <c r="C62" s="24" t="s">
        <v>215</v>
      </c>
      <c r="D62" s="25" t="s">
        <v>216</v>
      </c>
      <c r="E62" s="25" t="s">
        <v>694</v>
      </c>
      <c r="F62" s="32" t="s">
        <v>697</v>
      </c>
      <c r="G62" s="33" t="s">
        <v>717</v>
      </c>
      <c r="H62" s="28" t="s">
        <v>800</v>
      </c>
      <c r="I62" s="29" t="s">
        <v>797</v>
      </c>
      <c r="J62" s="30" t="s">
        <v>690</v>
      </c>
    </row>
    <row r="63" customFormat="false" ht="45.75" hidden="false" customHeight="true" outlineLevel="0" collapsed="false">
      <c r="A63" s="24" t="s">
        <v>214</v>
      </c>
      <c r="B63" s="25" t="s">
        <v>58</v>
      </c>
      <c r="C63" s="24" t="s">
        <v>224</v>
      </c>
      <c r="D63" s="25" t="s">
        <v>225</v>
      </c>
      <c r="E63" s="25" t="s">
        <v>685</v>
      </c>
      <c r="F63" s="26" t="s">
        <v>686</v>
      </c>
      <c r="G63" s="27" t="s">
        <v>687</v>
      </c>
      <c r="H63" s="28" t="s">
        <v>801</v>
      </c>
      <c r="I63" s="29" t="s">
        <v>581</v>
      </c>
      <c r="J63" s="30" t="s">
        <v>690</v>
      </c>
    </row>
    <row r="64" customFormat="false" ht="45.75" hidden="false" customHeight="true" outlineLevel="0" collapsed="false">
      <c r="A64" s="24" t="s">
        <v>214</v>
      </c>
      <c r="B64" s="25" t="s">
        <v>58</v>
      </c>
      <c r="C64" s="24" t="s">
        <v>224</v>
      </c>
      <c r="D64" s="25" t="s">
        <v>225</v>
      </c>
      <c r="E64" s="25" t="s">
        <v>691</v>
      </c>
      <c r="F64" s="32" t="s">
        <v>697</v>
      </c>
      <c r="G64" s="31" t="s">
        <v>695</v>
      </c>
      <c r="H64" s="28" t="s">
        <v>802</v>
      </c>
      <c r="I64" s="29" t="s">
        <v>803</v>
      </c>
      <c r="J64" s="30" t="s">
        <v>690</v>
      </c>
    </row>
    <row r="65" customFormat="false" ht="45.75" hidden="false" customHeight="true" outlineLevel="0" collapsed="false">
      <c r="A65" s="24" t="s">
        <v>214</v>
      </c>
      <c r="B65" s="25" t="s">
        <v>58</v>
      </c>
      <c r="C65" s="24" t="s">
        <v>224</v>
      </c>
      <c r="D65" s="25" t="s">
        <v>225</v>
      </c>
      <c r="E65" s="25" t="s">
        <v>694</v>
      </c>
      <c r="F65" s="26" t="s">
        <v>686</v>
      </c>
      <c r="G65" s="33" t="s">
        <v>717</v>
      </c>
      <c r="H65" s="28" t="s">
        <v>804</v>
      </c>
      <c r="I65" s="29" t="s">
        <v>805</v>
      </c>
      <c r="J65" s="30" t="s">
        <v>690</v>
      </c>
    </row>
    <row r="66" customFormat="false" ht="45.75" hidden="false" customHeight="true" outlineLevel="0" collapsed="false">
      <c r="A66" s="24" t="s">
        <v>214</v>
      </c>
      <c r="B66" s="25" t="s">
        <v>58</v>
      </c>
      <c r="C66" s="24" t="s">
        <v>233</v>
      </c>
      <c r="D66" s="25" t="s">
        <v>234</v>
      </c>
      <c r="E66" s="25" t="s">
        <v>685</v>
      </c>
      <c r="F66" s="26" t="s">
        <v>686</v>
      </c>
      <c r="G66" s="27" t="s">
        <v>687</v>
      </c>
      <c r="H66" s="28" t="s">
        <v>806</v>
      </c>
      <c r="I66" s="29" t="s">
        <v>581</v>
      </c>
      <c r="J66" s="30" t="s">
        <v>690</v>
      </c>
    </row>
    <row r="67" customFormat="false" ht="45.75" hidden="false" customHeight="true" outlineLevel="0" collapsed="false">
      <c r="A67" s="24" t="s">
        <v>214</v>
      </c>
      <c r="B67" s="25" t="s">
        <v>58</v>
      </c>
      <c r="C67" s="24" t="s">
        <v>233</v>
      </c>
      <c r="D67" s="25" t="s">
        <v>234</v>
      </c>
      <c r="E67" s="25" t="s">
        <v>691</v>
      </c>
      <c r="F67" s="32" t="s">
        <v>697</v>
      </c>
      <c r="G67" s="27" t="s">
        <v>687</v>
      </c>
      <c r="H67" s="28" t="s">
        <v>807</v>
      </c>
      <c r="I67" s="29" t="s">
        <v>808</v>
      </c>
      <c r="J67" s="30" t="s">
        <v>690</v>
      </c>
    </row>
    <row r="68" customFormat="false" ht="45.75" hidden="false" customHeight="true" outlineLevel="0" collapsed="false">
      <c r="A68" s="24" t="s">
        <v>214</v>
      </c>
      <c r="B68" s="25" t="s">
        <v>58</v>
      </c>
      <c r="C68" s="24" t="s">
        <v>233</v>
      </c>
      <c r="D68" s="25" t="s">
        <v>234</v>
      </c>
      <c r="E68" s="25" t="s">
        <v>694</v>
      </c>
      <c r="F68" s="32" t="s">
        <v>697</v>
      </c>
      <c r="G68" s="31" t="s">
        <v>695</v>
      </c>
      <c r="H68" s="28" t="s">
        <v>809</v>
      </c>
      <c r="I68" s="29" t="s">
        <v>810</v>
      </c>
      <c r="J68" s="30" t="s">
        <v>690</v>
      </c>
    </row>
    <row r="69" customFormat="false" ht="45.75" hidden="false" customHeight="true" outlineLevel="0" collapsed="false">
      <c r="A69" s="24" t="s">
        <v>214</v>
      </c>
      <c r="B69" s="25" t="s">
        <v>77</v>
      </c>
      <c r="C69" s="24" t="s">
        <v>242</v>
      </c>
      <c r="D69" s="25" t="s">
        <v>243</v>
      </c>
      <c r="E69" s="25" t="s">
        <v>685</v>
      </c>
      <c r="F69" s="34" t="s">
        <v>724</v>
      </c>
      <c r="G69" s="31" t="s">
        <v>695</v>
      </c>
      <c r="H69" s="28" t="s">
        <v>811</v>
      </c>
      <c r="I69" s="29" t="s">
        <v>812</v>
      </c>
      <c r="J69" s="30" t="s">
        <v>690</v>
      </c>
    </row>
    <row r="70" customFormat="false" ht="45.75" hidden="false" customHeight="true" outlineLevel="0" collapsed="false">
      <c r="A70" s="24" t="s">
        <v>214</v>
      </c>
      <c r="B70" s="25" t="s">
        <v>77</v>
      </c>
      <c r="C70" s="24" t="s">
        <v>242</v>
      </c>
      <c r="D70" s="25" t="s">
        <v>243</v>
      </c>
      <c r="E70" s="25" t="s">
        <v>691</v>
      </c>
      <c r="F70" s="32" t="s">
        <v>697</v>
      </c>
      <c r="G70" s="31" t="s">
        <v>695</v>
      </c>
      <c r="H70" s="28" t="s">
        <v>813</v>
      </c>
      <c r="I70" s="29" t="s">
        <v>814</v>
      </c>
      <c r="J70" s="30" t="s">
        <v>690</v>
      </c>
    </row>
    <row r="71" customFormat="false" ht="45.75" hidden="false" customHeight="true" outlineLevel="0" collapsed="false">
      <c r="A71" s="24" t="s">
        <v>214</v>
      </c>
      <c r="B71" s="25" t="s">
        <v>77</v>
      </c>
      <c r="C71" s="24" t="s">
        <v>242</v>
      </c>
      <c r="D71" s="25" t="s">
        <v>243</v>
      </c>
      <c r="E71" s="25" t="s">
        <v>694</v>
      </c>
      <c r="F71" s="26" t="s">
        <v>686</v>
      </c>
      <c r="G71" s="31" t="s">
        <v>695</v>
      </c>
      <c r="H71" s="28" t="s">
        <v>815</v>
      </c>
      <c r="I71" s="29" t="s">
        <v>816</v>
      </c>
      <c r="J71" s="30" t="s">
        <v>690</v>
      </c>
    </row>
    <row r="72" customFormat="false" ht="45.75" hidden="false" customHeight="true" outlineLevel="0" collapsed="false">
      <c r="A72" s="24" t="s">
        <v>251</v>
      </c>
      <c r="B72" s="25" t="s">
        <v>39</v>
      </c>
      <c r="C72" s="24" t="s">
        <v>252</v>
      </c>
      <c r="D72" s="25" t="s">
        <v>253</v>
      </c>
      <c r="E72" s="25" t="s">
        <v>685</v>
      </c>
      <c r="F72" s="34" t="s">
        <v>724</v>
      </c>
      <c r="G72" s="31" t="s">
        <v>695</v>
      </c>
      <c r="H72" s="28" t="s">
        <v>817</v>
      </c>
      <c r="I72" s="29" t="s">
        <v>818</v>
      </c>
      <c r="J72" s="30" t="s">
        <v>690</v>
      </c>
    </row>
    <row r="73" customFormat="false" ht="45.75" hidden="false" customHeight="true" outlineLevel="0" collapsed="false">
      <c r="A73" s="24" t="s">
        <v>251</v>
      </c>
      <c r="B73" s="25" t="s">
        <v>39</v>
      </c>
      <c r="C73" s="24" t="s">
        <v>252</v>
      </c>
      <c r="D73" s="25" t="s">
        <v>253</v>
      </c>
      <c r="E73" s="25" t="s">
        <v>691</v>
      </c>
      <c r="F73" s="34" t="s">
        <v>724</v>
      </c>
      <c r="G73" s="31" t="s">
        <v>695</v>
      </c>
      <c r="H73" s="28" t="s">
        <v>819</v>
      </c>
      <c r="I73" s="29" t="s">
        <v>820</v>
      </c>
      <c r="J73" s="30" t="s">
        <v>690</v>
      </c>
    </row>
    <row r="74" customFormat="false" ht="45.75" hidden="false" customHeight="true" outlineLevel="0" collapsed="false">
      <c r="A74" s="24" t="s">
        <v>251</v>
      </c>
      <c r="B74" s="25" t="s">
        <v>39</v>
      </c>
      <c r="C74" s="24" t="s">
        <v>252</v>
      </c>
      <c r="D74" s="25" t="s">
        <v>253</v>
      </c>
      <c r="E74" s="25" t="s">
        <v>694</v>
      </c>
      <c r="F74" s="34" t="s">
        <v>724</v>
      </c>
      <c r="G74" s="33" t="s">
        <v>717</v>
      </c>
      <c r="H74" s="28" t="s">
        <v>821</v>
      </c>
      <c r="I74" s="29" t="s">
        <v>822</v>
      </c>
      <c r="J74" s="30" t="s">
        <v>690</v>
      </c>
    </row>
    <row r="75" customFormat="false" ht="45.75" hidden="false" customHeight="true" outlineLevel="0" collapsed="false">
      <c r="A75" s="24" t="s">
        <v>251</v>
      </c>
      <c r="B75" s="25" t="s">
        <v>58</v>
      </c>
      <c r="C75" s="24" t="s">
        <v>261</v>
      </c>
      <c r="D75" s="25" t="s">
        <v>262</v>
      </c>
      <c r="E75" s="25" t="s">
        <v>685</v>
      </c>
      <c r="F75" s="26" t="s">
        <v>686</v>
      </c>
      <c r="G75" s="27" t="s">
        <v>687</v>
      </c>
      <c r="H75" s="28" t="s">
        <v>823</v>
      </c>
      <c r="I75" s="29" t="s">
        <v>586</v>
      </c>
      <c r="J75" s="30" t="s">
        <v>690</v>
      </c>
    </row>
    <row r="76" customFormat="false" ht="45.75" hidden="false" customHeight="true" outlineLevel="0" collapsed="false">
      <c r="A76" s="24" t="s">
        <v>251</v>
      </c>
      <c r="B76" s="25" t="s">
        <v>58</v>
      </c>
      <c r="C76" s="24" t="s">
        <v>261</v>
      </c>
      <c r="D76" s="25" t="s">
        <v>262</v>
      </c>
      <c r="E76" s="25" t="s">
        <v>691</v>
      </c>
      <c r="F76" s="32" t="s">
        <v>697</v>
      </c>
      <c r="G76" s="27" t="s">
        <v>687</v>
      </c>
      <c r="H76" s="28" t="s">
        <v>824</v>
      </c>
      <c r="I76" s="29" t="s">
        <v>825</v>
      </c>
      <c r="J76" s="30" t="s">
        <v>690</v>
      </c>
    </row>
    <row r="77" customFormat="false" ht="45.75" hidden="false" customHeight="true" outlineLevel="0" collapsed="false">
      <c r="A77" s="24" t="s">
        <v>251</v>
      </c>
      <c r="B77" s="25" t="s">
        <v>58</v>
      </c>
      <c r="C77" s="24" t="s">
        <v>261</v>
      </c>
      <c r="D77" s="25" t="s">
        <v>262</v>
      </c>
      <c r="E77" s="25" t="s">
        <v>694</v>
      </c>
      <c r="F77" s="34" t="s">
        <v>724</v>
      </c>
      <c r="G77" s="31" t="s">
        <v>695</v>
      </c>
      <c r="H77" s="28" t="s">
        <v>826</v>
      </c>
      <c r="I77" s="29" t="s">
        <v>827</v>
      </c>
      <c r="J77" s="30" t="s">
        <v>690</v>
      </c>
    </row>
    <row r="78" customFormat="false" ht="45.75" hidden="false" customHeight="true" outlineLevel="0" collapsed="false">
      <c r="A78" s="24" t="s">
        <v>251</v>
      </c>
      <c r="B78" s="25" t="s">
        <v>77</v>
      </c>
      <c r="C78" s="24" t="s">
        <v>270</v>
      </c>
      <c r="D78" s="25" t="s">
        <v>271</v>
      </c>
      <c r="E78" s="25" t="s">
        <v>685</v>
      </c>
      <c r="F78" s="32" t="s">
        <v>697</v>
      </c>
      <c r="G78" s="31" t="s">
        <v>695</v>
      </c>
      <c r="H78" s="28" t="s">
        <v>828</v>
      </c>
      <c r="I78" s="29" t="s">
        <v>829</v>
      </c>
      <c r="J78" s="30" t="s">
        <v>690</v>
      </c>
    </row>
    <row r="79" customFormat="false" ht="45.75" hidden="false" customHeight="true" outlineLevel="0" collapsed="false">
      <c r="A79" s="24" t="s">
        <v>251</v>
      </c>
      <c r="B79" s="25" t="s">
        <v>77</v>
      </c>
      <c r="C79" s="24" t="s">
        <v>270</v>
      </c>
      <c r="D79" s="25" t="s">
        <v>271</v>
      </c>
      <c r="E79" s="25" t="s">
        <v>691</v>
      </c>
      <c r="F79" s="32" t="s">
        <v>697</v>
      </c>
      <c r="G79" s="31" t="s">
        <v>695</v>
      </c>
      <c r="H79" s="28" t="s">
        <v>830</v>
      </c>
      <c r="I79" s="29" t="s">
        <v>831</v>
      </c>
      <c r="J79" s="30" t="s">
        <v>690</v>
      </c>
    </row>
    <row r="80" customFormat="false" ht="45.75" hidden="false" customHeight="true" outlineLevel="0" collapsed="false">
      <c r="A80" s="24" t="s">
        <v>251</v>
      </c>
      <c r="B80" s="25" t="s">
        <v>77</v>
      </c>
      <c r="C80" s="24" t="s">
        <v>270</v>
      </c>
      <c r="D80" s="25" t="s">
        <v>271</v>
      </c>
      <c r="E80" s="25" t="s">
        <v>694</v>
      </c>
      <c r="F80" s="34" t="s">
        <v>724</v>
      </c>
      <c r="G80" s="33" t="s">
        <v>717</v>
      </c>
      <c r="H80" s="28" t="s">
        <v>832</v>
      </c>
      <c r="I80" s="29" t="s">
        <v>777</v>
      </c>
      <c r="J80" s="30" t="s">
        <v>690</v>
      </c>
    </row>
    <row r="81" customFormat="false" ht="45.75" hidden="false" customHeight="true" outlineLevel="0" collapsed="false">
      <c r="A81" s="24" t="s">
        <v>279</v>
      </c>
      <c r="B81" s="25" t="s">
        <v>39</v>
      </c>
      <c r="C81" s="24" t="s">
        <v>280</v>
      </c>
      <c r="D81" s="25" t="s">
        <v>281</v>
      </c>
      <c r="E81" s="25" t="s">
        <v>685</v>
      </c>
      <c r="F81" s="32" t="s">
        <v>697</v>
      </c>
      <c r="G81" s="31" t="s">
        <v>695</v>
      </c>
      <c r="H81" s="28" t="s">
        <v>833</v>
      </c>
      <c r="I81" s="29" t="s">
        <v>834</v>
      </c>
      <c r="J81" s="30" t="s">
        <v>690</v>
      </c>
    </row>
    <row r="82" customFormat="false" ht="45.75" hidden="false" customHeight="true" outlineLevel="0" collapsed="false">
      <c r="A82" s="24" t="s">
        <v>279</v>
      </c>
      <c r="B82" s="25" t="s">
        <v>39</v>
      </c>
      <c r="C82" s="24" t="s">
        <v>280</v>
      </c>
      <c r="D82" s="25" t="s">
        <v>281</v>
      </c>
      <c r="E82" s="25" t="s">
        <v>691</v>
      </c>
      <c r="F82" s="34" t="s">
        <v>724</v>
      </c>
      <c r="G82" s="33" t="s">
        <v>717</v>
      </c>
      <c r="H82" s="28" t="s">
        <v>835</v>
      </c>
      <c r="I82" s="29" t="s">
        <v>836</v>
      </c>
      <c r="J82" s="30" t="s">
        <v>690</v>
      </c>
    </row>
    <row r="83" customFormat="false" ht="45.75" hidden="false" customHeight="true" outlineLevel="0" collapsed="false">
      <c r="A83" s="24" t="s">
        <v>279</v>
      </c>
      <c r="B83" s="25" t="s">
        <v>39</v>
      </c>
      <c r="C83" s="24" t="s">
        <v>280</v>
      </c>
      <c r="D83" s="25" t="s">
        <v>281</v>
      </c>
      <c r="E83" s="25" t="s">
        <v>694</v>
      </c>
      <c r="F83" s="32" t="s">
        <v>697</v>
      </c>
      <c r="G83" s="31" t="s">
        <v>695</v>
      </c>
      <c r="H83" s="28" t="s">
        <v>837</v>
      </c>
      <c r="I83" s="29" t="s">
        <v>834</v>
      </c>
      <c r="J83" s="30" t="s">
        <v>690</v>
      </c>
    </row>
    <row r="84" customFormat="false" ht="45.75" hidden="false" customHeight="true" outlineLevel="0" collapsed="false">
      <c r="A84" s="24" t="s">
        <v>279</v>
      </c>
      <c r="B84" s="25" t="s">
        <v>58</v>
      </c>
      <c r="C84" s="24" t="s">
        <v>289</v>
      </c>
      <c r="D84" s="25" t="s">
        <v>290</v>
      </c>
      <c r="E84" s="25" t="s">
        <v>685</v>
      </c>
      <c r="F84" s="26" t="s">
        <v>686</v>
      </c>
      <c r="G84" s="27" t="s">
        <v>687</v>
      </c>
      <c r="H84" s="28" t="s">
        <v>838</v>
      </c>
      <c r="I84" s="29" t="s">
        <v>839</v>
      </c>
      <c r="J84" s="30" t="s">
        <v>690</v>
      </c>
    </row>
    <row r="85" customFormat="false" ht="45.75" hidden="false" customHeight="true" outlineLevel="0" collapsed="false">
      <c r="A85" s="24" t="s">
        <v>279</v>
      </c>
      <c r="B85" s="25" t="s">
        <v>58</v>
      </c>
      <c r="C85" s="24" t="s">
        <v>289</v>
      </c>
      <c r="D85" s="25" t="s">
        <v>290</v>
      </c>
      <c r="E85" s="25" t="s">
        <v>691</v>
      </c>
      <c r="F85" s="34" t="s">
        <v>724</v>
      </c>
      <c r="G85" s="31" t="s">
        <v>695</v>
      </c>
      <c r="H85" s="28" t="s">
        <v>840</v>
      </c>
      <c r="I85" s="29" t="s">
        <v>841</v>
      </c>
      <c r="J85" s="30" t="s">
        <v>690</v>
      </c>
    </row>
    <row r="86" customFormat="false" ht="45.75" hidden="false" customHeight="true" outlineLevel="0" collapsed="false">
      <c r="A86" s="24" t="s">
        <v>279</v>
      </c>
      <c r="B86" s="25" t="s">
        <v>58</v>
      </c>
      <c r="C86" s="24" t="s">
        <v>289</v>
      </c>
      <c r="D86" s="25" t="s">
        <v>290</v>
      </c>
      <c r="E86" s="25" t="s">
        <v>694</v>
      </c>
      <c r="F86" s="34" t="s">
        <v>724</v>
      </c>
      <c r="G86" s="31" t="s">
        <v>695</v>
      </c>
      <c r="H86" s="28" t="s">
        <v>842</v>
      </c>
      <c r="I86" s="29" t="s">
        <v>843</v>
      </c>
      <c r="J86" s="30" t="s">
        <v>690</v>
      </c>
    </row>
    <row r="87" customFormat="false" ht="45.75" hidden="false" customHeight="true" outlineLevel="0" collapsed="false">
      <c r="A87" s="24" t="s">
        <v>279</v>
      </c>
      <c r="B87" s="25" t="s">
        <v>77</v>
      </c>
      <c r="C87" s="24" t="s">
        <v>298</v>
      </c>
      <c r="D87" s="25" t="s">
        <v>299</v>
      </c>
      <c r="E87" s="25" t="s">
        <v>685</v>
      </c>
      <c r="F87" s="32" t="s">
        <v>697</v>
      </c>
      <c r="G87" s="31" t="s">
        <v>695</v>
      </c>
      <c r="H87" s="28" t="s">
        <v>844</v>
      </c>
      <c r="I87" s="29" t="s">
        <v>468</v>
      </c>
      <c r="J87" s="30" t="s">
        <v>690</v>
      </c>
    </row>
    <row r="88" customFormat="false" ht="45.75" hidden="false" customHeight="true" outlineLevel="0" collapsed="false">
      <c r="A88" s="24" t="s">
        <v>279</v>
      </c>
      <c r="B88" s="25" t="s">
        <v>77</v>
      </c>
      <c r="C88" s="24" t="s">
        <v>298</v>
      </c>
      <c r="D88" s="25" t="s">
        <v>299</v>
      </c>
      <c r="E88" s="25" t="s">
        <v>691</v>
      </c>
      <c r="F88" s="32" t="s">
        <v>697</v>
      </c>
      <c r="G88" s="31" t="s">
        <v>695</v>
      </c>
      <c r="H88" s="28" t="s">
        <v>845</v>
      </c>
      <c r="I88" s="29" t="s">
        <v>468</v>
      </c>
      <c r="J88" s="30" t="s">
        <v>690</v>
      </c>
    </row>
    <row r="89" customFormat="false" ht="45.75" hidden="false" customHeight="true" outlineLevel="0" collapsed="false">
      <c r="A89" s="24" t="s">
        <v>279</v>
      </c>
      <c r="B89" s="25" t="s">
        <v>77</v>
      </c>
      <c r="C89" s="24" t="s">
        <v>298</v>
      </c>
      <c r="D89" s="25" t="s">
        <v>299</v>
      </c>
      <c r="E89" s="25" t="s">
        <v>694</v>
      </c>
      <c r="F89" s="32" t="s">
        <v>697</v>
      </c>
      <c r="G89" s="33" t="s">
        <v>717</v>
      </c>
      <c r="H89" s="28" t="s">
        <v>846</v>
      </c>
      <c r="I89" s="29" t="s">
        <v>847</v>
      </c>
      <c r="J89" s="30" t="s">
        <v>690</v>
      </c>
    </row>
    <row r="90" customFormat="false" ht="45.75" hidden="false" customHeight="true" outlineLevel="0" collapsed="false">
      <c r="A90" s="24" t="s">
        <v>307</v>
      </c>
      <c r="B90" s="25" t="s">
        <v>39</v>
      </c>
      <c r="C90" s="24" t="s">
        <v>308</v>
      </c>
      <c r="D90" s="25" t="s">
        <v>309</v>
      </c>
      <c r="E90" s="25" t="s">
        <v>685</v>
      </c>
      <c r="F90" s="32" t="s">
        <v>697</v>
      </c>
      <c r="G90" s="31" t="s">
        <v>695</v>
      </c>
      <c r="H90" s="28" t="s">
        <v>848</v>
      </c>
      <c r="I90" s="29" t="s">
        <v>849</v>
      </c>
      <c r="J90" s="30" t="s">
        <v>690</v>
      </c>
    </row>
    <row r="91" customFormat="false" ht="45.75" hidden="false" customHeight="true" outlineLevel="0" collapsed="false">
      <c r="A91" s="24" t="s">
        <v>307</v>
      </c>
      <c r="B91" s="25" t="s">
        <v>39</v>
      </c>
      <c r="C91" s="24" t="s">
        <v>308</v>
      </c>
      <c r="D91" s="25" t="s">
        <v>309</v>
      </c>
      <c r="E91" s="25" t="s">
        <v>691</v>
      </c>
      <c r="F91" s="32" t="s">
        <v>697</v>
      </c>
      <c r="G91" s="31" t="s">
        <v>695</v>
      </c>
      <c r="H91" s="28" t="s">
        <v>850</v>
      </c>
      <c r="I91" s="29" t="s">
        <v>489</v>
      </c>
      <c r="J91" s="30" t="s">
        <v>690</v>
      </c>
    </row>
    <row r="92" customFormat="false" ht="45.75" hidden="false" customHeight="true" outlineLevel="0" collapsed="false">
      <c r="A92" s="24" t="s">
        <v>307</v>
      </c>
      <c r="B92" s="25" t="s">
        <v>39</v>
      </c>
      <c r="C92" s="24" t="s">
        <v>308</v>
      </c>
      <c r="D92" s="25" t="s">
        <v>309</v>
      </c>
      <c r="E92" s="25" t="s">
        <v>694</v>
      </c>
      <c r="F92" s="26" t="s">
        <v>686</v>
      </c>
      <c r="G92" s="27" t="s">
        <v>687</v>
      </c>
      <c r="H92" s="28" t="s">
        <v>851</v>
      </c>
      <c r="I92" s="29" t="s">
        <v>852</v>
      </c>
      <c r="J92" s="30" t="s">
        <v>690</v>
      </c>
    </row>
    <row r="93" customFormat="false" ht="45.75" hidden="false" customHeight="true" outlineLevel="0" collapsed="false">
      <c r="A93" s="24" t="s">
        <v>307</v>
      </c>
      <c r="B93" s="25" t="s">
        <v>58</v>
      </c>
      <c r="C93" s="24" t="s">
        <v>317</v>
      </c>
      <c r="D93" s="25" t="s">
        <v>318</v>
      </c>
      <c r="E93" s="25" t="s">
        <v>685</v>
      </c>
      <c r="F93" s="26" t="s">
        <v>686</v>
      </c>
      <c r="G93" s="27" t="s">
        <v>687</v>
      </c>
      <c r="H93" s="28" t="s">
        <v>853</v>
      </c>
      <c r="I93" s="29" t="s">
        <v>854</v>
      </c>
      <c r="J93" s="30" t="s">
        <v>690</v>
      </c>
    </row>
    <row r="94" customFormat="false" ht="45.75" hidden="false" customHeight="true" outlineLevel="0" collapsed="false">
      <c r="A94" s="24" t="s">
        <v>307</v>
      </c>
      <c r="B94" s="25" t="s">
        <v>58</v>
      </c>
      <c r="C94" s="24" t="s">
        <v>317</v>
      </c>
      <c r="D94" s="25" t="s">
        <v>318</v>
      </c>
      <c r="E94" s="25" t="s">
        <v>691</v>
      </c>
      <c r="F94" s="32" t="s">
        <v>697</v>
      </c>
      <c r="G94" s="31" t="s">
        <v>695</v>
      </c>
      <c r="H94" s="28" t="s">
        <v>855</v>
      </c>
      <c r="I94" s="29" t="s">
        <v>856</v>
      </c>
      <c r="J94" s="30" t="s">
        <v>690</v>
      </c>
    </row>
    <row r="95" customFormat="false" ht="45.75" hidden="false" customHeight="true" outlineLevel="0" collapsed="false">
      <c r="A95" s="24" t="s">
        <v>307</v>
      </c>
      <c r="B95" s="25" t="s">
        <v>58</v>
      </c>
      <c r="C95" s="24" t="s">
        <v>317</v>
      </c>
      <c r="D95" s="25" t="s">
        <v>318</v>
      </c>
      <c r="E95" s="25" t="s">
        <v>694</v>
      </c>
      <c r="F95" s="32" t="s">
        <v>697</v>
      </c>
      <c r="G95" s="31" t="s">
        <v>695</v>
      </c>
      <c r="H95" s="28" t="s">
        <v>857</v>
      </c>
      <c r="I95" s="29" t="s">
        <v>858</v>
      </c>
      <c r="J95" s="30" t="s">
        <v>690</v>
      </c>
    </row>
    <row r="96" customFormat="false" ht="45.75" hidden="false" customHeight="true" outlineLevel="0" collapsed="false">
      <c r="A96" s="24" t="s">
        <v>307</v>
      </c>
      <c r="B96" s="25" t="s">
        <v>77</v>
      </c>
      <c r="C96" s="24" t="s">
        <v>326</v>
      </c>
      <c r="D96" s="25" t="s">
        <v>327</v>
      </c>
      <c r="E96" s="25" t="s">
        <v>685</v>
      </c>
      <c r="F96" s="32" t="s">
        <v>697</v>
      </c>
      <c r="G96" s="31" t="s">
        <v>695</v>
      </c>
      <c r="H96" s="28" t="s">
        <v>859</v>
      </c>
      <c r="I96" s="29" t="s">
        <v>860</v>
      </c>
      <c r="J96" s="30" t="s">
        <v>690</v>
      </c>
    </row>
    <row r="97" customFormat="false" ht="45.75" hidden="false" customHeight="true" outlineLevel="0" collapsed="false">
      <c r="A97" s="24" t="s">
        <v>307</v>
      </c>
      <c r="B97" s="25" t="s">
        <v>77</v>
      </c>
      <c r="C97" s="24" t="s">
        <v>326</v>
      </c>
      <c r="D97" s="25" t="s">
        <v>327</v>
      </c>
      <c r="E97" s="25" t="s">
        <v>691</v>
      </c>
      <c r="F97" s="34" t="s">
        <v>724</v>
      </c>
      <c r="G97" s="31" t="s">
        <v>695</v>
      </c>
      <c r="H97" s="28" t="s">
        <v>861</v>
      </c>
      <c r="I97" s="29" t="s">
        <v>862</v>
      </c>
      <c r="J97" s="30" t="s">
        <v>690</v>
      </c>
    </row>
    <row r="98" customFormat="false" ht="45.75" hidden="false" customHeight="true" outlineLevel="0" collapsed="false">
      <c r="A98" s="24" t="s">
        <v>307</v>
      </c>
      <c r="B98" s="25" t="s">
        <v>77</v>
      </c>
      <c r="C98" s="24" t="s">
        <v>326</v>
      </c>
      <c r="D98" s="25" t="s">
        <v>327</v>
      </c>
      <c r="E98" s="25" t="s">
        <v>694</v>
      </c>
      <c r="F98" s="32" t="s">
        <v>697</v>
      </c>
      <c r="G98" s="31" t="s">
        <v>695</v>
      </c>
      <c r="H98" s="28" t="s">
        <v>863</v>
      </c>
      <c r="I98" s="29" t="s">
        <v>393</v>
      </c>
      <c r="J98" s="30" t="s">
        <v>690</v>
      </c>
    </row>
    <row r="99" customFormat="false" ht="45.75" hidden="false" customHeight="true" outlineLevel="0" collapsed="false">
      <c r="A99" s="24" t="s">
        <v>335</v>
      </c>
      <c r="B99" s="25" t="s">
        <v>39</v>
      </c>
      <c r="C99" s="24" t="s">
        <v>336</v>
      </c>
      <c r="D99" s="25" t="s">
        <v>337</v>
      </c>
      <c r="E99" s="25" t="s">
        <v>685</v>
      </c>
      <c r="F99" s="26" t="s">
        <v>686</v>
      </c>
      <c r="G99" s="31" t="s">
        <v>695</v>
      </c>
      <c r="H99" s="28" t="s">
        <v>864</v>
      </c>
      <c r="I99" s="29" t="s">
        <v>865</v>
      </c>
      <c r="J99" s="30" t="s">
        <v>690</v>
      </c>
    </row>
    <row r="100" customFormat="false" ht="45.75" hidden="false" customHeight="true" outlineLevel="0" collapsed="false">
      <c r="A100" s="24" t="s">
        <v>335</v>
      </c>
      <c r="B100" s="25" t="s">
        <v>39</v>
      </c>
      <c r="C100" s="24" t="s">
        <v>336</v>
      </c>
      <c r="D100" s="25" t="s">
        <v>337</v>
      </c>
      <c r="E100" s="25" t="s">
        <v>691</v>
      </c>
      <c r="F100" s="32" t="s">
        <v>697</v>
      </c>
      <c r="G100" s="31" t="s">
        <v>695</v>
      </c>
      <c r="H100" s="28" t="s">
        <v>866</v>
      </c>
      <c r="I100" s="29" t="s">
        <v>523</v>
      </c>
      <c r="J100" s="30" t="s">
        <v>690</v>
      </c>
    </row>
    <row r="101" customFormat="false" ht="45.75" hidden="false" customHeight="true" outlineLevel="0" collapsed="false">
      <c r="A101" s="24" t="s">
        <v>335</v>
      </c>
      <c r="B101" s="25" t="s">
        <v>39</v>
      </c>
      <c r="C101" s="24" t="s">
        <v>336</v>
      </c>
      <c r="D101" s="25" t="s">
        <v>337</v>
      </c>
      <c r="E101" s="25" t="s">
        <v>694</v>
      </c>
      <c r="F101" s="34" t="s">
        <v>724</v>
      </c>
      <c r="G101" s="33" t="s">
        <v>717</v>
      </c>
      <c r="H101" s="28" t="s">
        <v>867</v>
      </c>
      <c r="I101" s="29" t="s">
        <v>868</v>
      </c>
      <c r="J101" s="30" t="s">
        <v>690</v>
      </c>
    </row>
    <row r="102" customFormat="false" ht="45.75" hidden="false" customHeight="true" outlineLevel="0" collapsed="false">
      <c r="A102" s="24" t="s">
        <v>335</v>
      </c>
      <c r="B102" s="25" t="s">
        <v>58</v>
      </c>
      <c r="C102" s="24" t="s">
        <v>345</v>
      </c>
      <c r="D102" s="25" t="s">
        <v>346</v>
      </c>
      <c r="E102" s="25" t="s">
        <v>685</v>
      </c>
      <c r="F102" s="26" t="s">
        <v>686</v>
      </c>
      <c r="G102" s="27" t="s">
        <v>687</v>
      </c>
      <c r="H102" s="28" t="s">
        <v>869</v>
      </c>
      <c r="I102" s="29" t="s">
        <v>598</v>
      </c>
      <c r="J102" s="30" t="s">
        <v>690</v>
      </c>
    </row>
    <row r="103" customFormat="false" ht="45.75" hidden="false" customHeight="true" outlineLevel="0" collapsed="false">
      <c r="A103" s="24" t="s">
        <v>335</v>
      </c>
      <c r="B103" s="25" t="s">
        <v>58</v>
      </c>
      <c r="C103" s="24" t="s">
        <v>345</v>
      </c>
      <c r="D103" s="25" t="s">
        <v>346</v>
      </c>
      <c r="E103" s="25" t="s">
        <v>691</v>
      </c>
      <c r="F103" s="34" t="s">
        <v>724</v>
      </c>
      <c r="G103" s="27" t="s">
        <v>687</v>
      </c>
      <c r="H103" s="28" t="s">
        <v>870</v>
      </c>
      <c r="I103" s="29" t="s">
        <v>871</v>
      </c>
      <c r="J103" s="30" t="s">
        <v>690</v>
      </c>
    </row>
    <row r="104" customFormat="false" ht="45.75" hidden="false" customHeight="true" outlineLevel="0" collapsed="false">
      <c r="A104" s="24" t="s">
        <v>335</v>
      </c>
      <c r="B104" s="25" t="s">
        <v>58</v>
      </c>
      <c r="C104" s="24" t="s">
        <v>345</v>
      </c>
      <c r="D104" s="25" t="s">
        <v>346</v>
      </c>
      <c r="E104" s="25" t="s">
        <v>694</v>
      </c>
      <c r="F104" s="34" t="s">
        <v>724</v>
      </c>
      <c r="G104" s="31" t="s">
        <v>695</v>
      </c>
      <c r="H104" s="28" t="s">
        <v>872</v>
      </c>
      <c r="I104" s="29" t="s">
        <v>873</v>
      </c>
      <c r="J104" s="30" t="s">
        <v>690</v>
      </c>
    </row>
    <row r="105" customFormat="false" ht="45.75" hidden="false" customHeight="true" outlineLevel="0" collapsed="false">
      <c r="A105" s="24" t="s">
        <v>335</v>
      </c>
      <c r="B105" s="25" t="s">
        <v>77</v>
      </c>
      <c r="C105" s="24" t="s">
        <v>354</v>
      </c>
      <c r="D105" s="25" t="s">
        <v>355</v>
      </c>
      <c r="E105" s="25" t="s">
        <v>685</v>
      </c>
      <c r="F105" s="34" t="s">
        <v>724</v>
      </c>
      <c r="G105" s="27" t="s">
        <v>687</v>
      </c>
      <c r="H105" s="28" t="s">
        <v>874</v>
      </c>
      <c r="I105" s="29" t="s">
        <v>875</v>
      </c>
      <c r="J105" s="30" t="s">
        <v>690</v>
      </c>
    </row>
    <row r="106" customFormat="false" ht="45.75" hidden="false" customHeight="true" outlineLevel="0" collapsed="false">
      <c r="A106" s="24" t="s">
        <v>335</v>
      </c>
      <c r="B106" s="25" t="s">
        <v>77</v>
      </c>
      <c r="C106" s="24" t="s">
        <v>354</v>
      </c>
      <c r="D106" s="25" t="s">
        <v>355</v>
      </c>
      <c r="E106" s="25" t="s">
        <v>691</v>
      </c>
      <c r="F106" s="32" t="s">
        <v>697</v>
      </c>
      <c r="G106" s="31" t="s">
        <v>695</v>
      </c>
      <c r="H106" s="28" t="s">
        <v>876</v>
      </c>
      <c r="I106" s="29" t="s">
        <v>875</v>
      </c>
      <c r="J106" s="30" t="s">
        <v>690</v>
      </c>
    </row>
    <row r="107" customFormat="false" ht="45.75" hidden="false" customHeight="true" outlineLevel="0" collapsed="false">
      <c r="A107" s="24" t="s">
        <v>335</v>
      </c>
      <c r="B107" s="25" t="s">
        <v>77</v>
      </c>
      <c r="C107" s="24" t="s">
        <v>354</v>
      </c>
      <c r="D107" s="25" t="s">
        <v>355</v>
      </c>
      <c r="E107" s="25" t="s">
        <v>694</v>
      </c>
      <c r="F107" s="32" t="s">
        <v>697</v>
      </c>
      <c r="G107" s="31" t="s">
        <v>695</v>
      </c>
      <c r="H107" s="28" t="s">
        <v>877</v>
      </c>
      <c r="I107" s="29" t="s">
        <v>875</v>
      </c>
      <c r="J107" s="30" t="s">
        <v>690</v>
      </c>
    </row>
  </sheetData>
  <dataValidations count="2">
    <dataValidation allowBlank="true" error="Choose H, M, or L" errorStyle="stop" errorTitle="Invalid rating" operator="between" showDropDown="false" showErrorMessage="false" showInputMessage="false" sqref="F3:F107" type="list">
      <formula1>"H,M,L"</formula1>
      <formula2>0</formula2>
    </dataValidation>
    <dataValidation allowBlank="true" error="Choose high, medium, or low" errorStyle="stop" errorTitle="Invalid confidence" operator="between" showDropDown="false" showErrorMessage="false" showInputMessage="false" sqref="G3:G107" type="list">
      <formula1>"high,medium,low"</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4"/>
    <col collapsed="false" customWidth="true" hidden="false" outlineLevel="0" max="7" min="6" style="0" width="3"/>
    <col collapsed="false" customWidth="true" hidden="false" outlineLevel="0" max="9" min="8" style="0" width="8"/>
  </cols>
  <sheetData>
    <row r="2" customFormat="false" ht="19.7" hidden="false" customHeight="false" outlineLevel="0" collapsed="false">
      <c r="B2" s="1" t="s">
        <v>878</v>
      </c>
    </row>
    <row r="3" customFormat="false" ht="15" hidden="false" customHeight="false" outlineLevel="0" collapsed="false">
      <c r="B3" s="2" t="s">
        <v>879</v>
      </c>
    </row>
    <row r="5" customFormat="false" ht="24" hidden="false" customHeight="true" outlineLevel="0" collapsed="false">
      <c r="A5" s="11"/>
      <c r="B5" s="11" t="s">
        <v>27</v>
      </c>
      <c r="C5" s="11" t="s">
        <v>685</v>
      </c>
      <c r="D5" s="11" t="s">
        <v>691</v>
      </c>
      <c r="E5" s="11" t="s">
        <v>694</v>
      </c>
    </row>
    <row r="6" customFormat="false" ht="15" hidden="false" customHeight="false" outlineLevel="0" collapsed="false">
      <c r="B6" s="24" t="s">
        <v>38</v>
      </c>
      <c r="C6" s="35" t="n">
        <f aca="false">IFERROR((SUMPRODUCT(('Assessment Matrix'!$A$3:$A$107="Power &amp; Utilities")*('Assessment Matrix'!$E$3:$E$107="European Union")*('Assessment Matrix'!$F$3:$F$107="H"))*3+SUMPRODUCT(('Assessment Matrix'!$A$3:$A$107="Power &amp; Utilities")*('Assessment Matrix'!$E$3:$E$107="European Union")*('Assessment Matrix'!$F$3:$F$107="M"))*2+SUMPRODUCT(('Assessment Matrix'!$A$3:$A$107="Power &amp; Utilities")*('Assessment Matrix'!$E$3:$E$107="European Union")*('Assessment Matrix'!$F$3:$F$107="L"))*1)/(SUMPRODUCT(('Assessment Matrix'!$A$3:$A$107="Power &amp; Utilities")*('Assessment Matrix'!$E$3:$E$107="European Union")*(('Assessment Matrix'!$F$3:$F$107="H")+('Assessment Matrix'!$F$3:$F$107="M")+('Assessment Matrix'!$F$3:$F$107="L")))),"")</f>
        <v>2.8</v>
      </c>
      <c r="D6" s="35" t="n">
        <f aca="false">IFERROR((SUMPRODUCT(('Assessment Matrix'!$A$3:$A$107="Power &amp; Utilities")*('Assessment Matrix'!$E$3:$E$107="United States")*('Assessment Matrix'!$F$3:$F$107="H"))*3+SUMPRODUCT(('Assessment Matrix'!$A$3:$A$107="Power &amp; Utilities")*('Assessment Matrix'!$E$3:$E$107="United States")*('Assessment Matrix'!$F$3:$F$107="M"))*2+SUMPRODUCT(('Assessment Matrix'!$A$3:$A$107="Power &amp; Utilities")*('Assessment Matrix'!$E$3:$E$107="United States")*('Assessment Matrix'!$F$3:$F$107="L"))*1)/(SUMPRODUCT(('Assessment Matrix'!$A$3:$A$107="Power &amp; Utilities")*('Assessment Matrix'!$E$3:$E$107="United States")*(('Assessment Matrix'!$F$3:$F$107="H")+('Assessment Matrix'!$F$3:$F$107="M")+('Assessment Matrix'!$F$3:$F$107="L")))),"")</f>
        <v>2.4</v>
      </c>
      <c r="E6" s="35" t="n">
        <f aca="false">IFERROR((SUMPRODUCT(('Assessment Matrix'!$A$3:$A$107="Power &amp; Utilities")*('Assessment Matrix'!$E$3:$E$107="China")*('Assessment Matrix'!$F$3:$F$107="H"))*3+SUMPRODUCT(('Assessment Matrix'!$A$3:$A$107="Power &amp; Utilities")*('Assessment Matrix'!$E$3:$E$107="China")*('Assessment Matrix'!$F$3:$F$107="M"))*2+SUMPRODUCT(('Assessment Matrix'!$A$3:$A$107="Power &amp; Utilities")*('Assessment Matrix'!$E$3:$E$107="China")*('Assessment Matrix'!$F$3:$F$107="L"))*1)/(SUMPRODUCT(('Assessment Matrix'!$A$3:$A$107="Power &amp; Utilities")*('Assessment Matrix'!$E$3:$E$107="China")*(('Assessment Matrix'!$F$3:$F$107="H")+('Assessment Matrix'!$F$3:$F$107="M")+('Assessment Matrix'!$F$3:$F$107="L")))),"")</f>
        <v>2.4</v>
      </c>
    </row>
    <row r="7" customFormat="false" ht="15" hidden="false" customHeight="false" outlineLevel="0" collapsed="false">
      <c r="B7" s="24" t="s">
        <v>87</v>
      </c>
      <c r="C7" s="35" t="n">
        <f aca="false">IFERROR((SUMPRODUCT(('Assessment Matrix'!$A$3:$A$107="Steel")*('Assessment Matrix'!$E$3:$E$107="European Union")*('Assessment Matrix'!$F$3:$F$107="H"))*3+SUMPRODUCT(('Assessment Matrix'!$A$3:$A$107="Steel")*('Assessment Matrix'!$E$3:$E$107="European Union")*('Assessment Matrix'!$F$3:$F$107="M"))*2+SUMPRODUCT(('Assessment Matrix'!$A$3:$A$107="Steel")*('Assessment Matrix'!$E$3:$E$107="European Union")*('Assessment Matrix'!$F$3:$F$107="L"))*1)/(SUMPRODUCT(('Assessment Matrix'!$A$3:$A$107="Steel")*('Assessment Matrix'!$E$3:$E$107="European Union")*(('Assessment Matrix'!$F$3:$F$107="H")+('Assessment Matrix'!$F$3:$F$107="M")+('Assessment Matrix'!$F$3:$F$107="L")))),"")</f>
        <v>2.4</v>
      </c>
      <c r="D7" s="35" t="n">
        <f aca="false">IFERROR((SUMPRODUCT(('Assessment Matrix'!$A$3:$A$107="Steel")*('Assessment Matrix'!$E$3:$E$107="United States")*('Assessment Matrix'!$F$3:$F$107="H"))*3+SUMPRODUCT(('Assessment Matrix'!$A$3:$A$107="Steel")*('Assessment Matrix'!$E$3:$E$107="United States")*('Assessment Matrix'!$F$3:$F$107="M"))*2+SUMPRODUCT(('Assessment Matrix'!$A$3:$A$107="Steel")*('Assessment Matrix'!$E$3:$E$107="United States")*('Assessment Matrix'!$F$3:$F$107="L"))*1)/(SUMPRODUCT(('Assessment Matrix'!$A$3:$A$107="Steel")*('Assessment Matrix'!$E$3:$E$107="United States")*(('Assessment Matrix'!$F$3:$F$107="H")+('Assessment Matrix'!$F$3:$F$107="M")+('Assessment Matrix'!$F$3:$F$107="L")))),"")</f>
        <v>2</v>
      </c>
      <c r="E7" s="35" t="n">
        <f aca="false">IFERROR((SUMPRODUCT(('Assessment Matrix'!$A$3:$A$107="Steel")*('Assessment Matrix'!$E$3:$E$107="China")*('Assessment Matrix'!$F$3:$F$107="H"))*3+SUMPRODUCT(('Assessment Matrix'!$A$3:$A$107="Steel")*('Assessment Matrix'!$E$3:$E$107="China")*('Assessment Matrix'!$F$3:$F$107="M"))*2+SUMPRODUCT(('Assessment Matrix'!$A$3:$A$107="Steel")*('Assessment Matrix'!$E$3:$E$107="China")*('Assessment Matrix'!$F$3:$F$107="L"))*1)/(SUMPRODUCT(('Assessment Matrix'!$A$3:$A$107="Steel")*('Assessment Matrix'!$E$3:$E$107="China")*(('Assessment Matrix'!$F$3:$F$107="H")+('Assessment Matrix'!$F$3:$F$107="M")+('Assessment Matrix'!$F$3:$F$107="L")))),"")</f>
        <v>1</v>
      </c>
    </row>
    <row r="8" customFormat="false" ht="15" hidden="false" customHeight="false" outlineLevel="0" collapsed="false">
      <c r="B8" s="24" t="s">
        <v>133</v>
      </c>
      <c r="C8" s="35" t="n">
        <f aca="false">IFERROR((SUMPRODUCT(('Assessment Matrix'!$A$3:$A$107="Cement")*('Assessment Matrix'!$E$3:$E$107="European Union")*('Assessment Matrix'!$F$3:$F$107="H"))*3+SUMPRODUCT(('Assessment Matrix'!$A$3:$A$107="Cement")*('Assessment Matrix'!$E$3:$E$107="European Union")*('Assessment Matrix'!$F$3:$F$107="M"))*2+SUMPRODUCT(('Assessment Matrix'!$A$3:$A$107="Cement")*('Assessment Matrix'!$E$3:$E$107="European Union")*('Assessment Matrix'!$F$3:$F$107="L"))*1)/(SUMPRODUCT(('Assessment Matrix'!$A$3:$A$107="Cement")*('Assessment Matrix'!$E$3:$E$107="European Union")*(('Assessment Matrix'!$F$3:$F$107="H")+('Assessment Matrix'!$F$3:$F$107="M")+('Assessment Matrix'!$F$3:$F$107="L")))),"")</f>
        <v>2.6</v>
      </c>
      <c r="D8" s="35" t="n">
        <f aca="false">IFERROR((SUMPRODUCT(('Assessment Matrix'!$A$3:$A$107="Cement")*('Assessment Matrix'!$E$3:$E$107="United States")*('Assessment Matrix'!$F$3:$F$107="H"))*3+SUMPRODUCT(('Assessment Matrix'!$A$3:$A$107="Cement")*('Assessment Matrix'!$E$3:$E$107="United States")*('Assessment Matrix'!$F$3:$F$107="M"))*2+SUMPRODUCT(('Assessment Matrix'!$A$3:$A$107="Cement")*('Assessment Matrix'!$E$3:$E$107="United States")*('Assessment Matrix'!$F$3:$F$107="L"))*1)/(SUMPRODUCT(('Assessment Matrix'!$A$3:$A$107="Cement")*('Assessment Matrix'!$E$3:$E$107="United States")*(('Assessment Matrix'!$F$3:$F$107="H")+('Assessment Matrix'!$F$3:$F$107="M")+('Assessment Matrix'!$F$3:$F$107="L")))),"")</f>
        <v>1.8</v>
      </c>
      <c r="E8" s="35" t="n">
        <f aca="false">IFERROR((SUMPRODUCT(('Assessment Matrix'!$A$3:$A$107="Cement")*('Assessment Matrix'!$E$3:$E$107="China")*('Assessment Matrix'!$F$3:$F$107="H"))*3+SUMPRODUCT(('Assessment Matrix'!$A$3:$A$107="Cement")*('Assessment Matrix'!$E$3:$E$107="China")*('Assessment Matrix'!$F$3:$F$107="M"))*2+SUMPRODUCT(('Assessment Matrix'!$A$3:$A$107="Cement")*('Assessment Matrix'!$E$3:$E$107="China")*('Assessment Matrix'!$F$3:$F$107="L"))*1)/(SUMPRODUCT(('Assessment Matrix'!$A$3:$A$107="Cement")*('Assessment Matrix'!$E$3:$E$107="China")*(('Assessment Matrix'!$F$3:$F$107="H")+('Assessment Matrix'!$F$3:$F$107="M")+('Assessment Matrix'!$F$3:$F$107="L")))),"")</f>
        <v>1.2</v>
      </c>
    </row>
    <row r="9" customFormat="false" ht="15" hidden="false" customHeight="false" outlineLevel="0" collapsed="false">
      <c r="B9" s="24" t="s">
        <v>178</v>
      </c>
      <c r="C9" s="35" t="n">
        <f aca="false">IFERROR((SUMPRODUCT(('Assessment Matrix'!$A$3:$A$107="Chemicals")*('Assessment Matrix'!$E$3:$E$107="European Union")*('Assessment Matrix'!$F$3:$F$107="H"))*3+SUMPRODUCT(('Assessment Matrix'!$A$3:$A$107="Chemicals")*('Assessment Matrix'!$E$3:$E$107="European Union")*('Assessment Matrix'!$F$3:$F$107="M"))*2+SUMPRODUCT(('Assessment Matrix'!$A$3:$A$107="Chemicals")*('Assessment Matrix'!$E$3:$E$107="European Union")*('Assessment Matrix'!$F$3:$F$107="L"))*1)/(SUMPRODUCT(('Assessment Matrix'!$A$3:$A$107="Chemicals")*('Assessment Matrix'!$E$3:$E$107="European Union")*(('Assessment Matrix'!$F$3:$F$107="H")+('Assessment Matrix'!$F$3:$F$107="M")+('Assessment Matrix'!$F$3:$F$107="L")))),"")</f>
        <v>2</v>
      </c>
      <c r="D9" s="35" t="n">
        <f aca="false">IFERROR((SUMPRODUCT(('Assessment Matrix'!$A$3:$A$107="Chemicals")*('Assessment Matrix'!$E$3:$E$107="United States")*('Assessment Matrix'!$F$3:$F$107="H"))*3+SUMPRODUCT(('Assessment Matrix'!$A$3:$A$107="Chemicals")*('Assessment Matrix'!$E$3:$E$107="United States")*('Assessment Matrix'!$F$3:$F$107="M"))*2+SUMPRODUCT(('Assessment Matrix'!$A$3:$A$107="Chemicals")*('Assessment Matrix'!$E$3:$E$107="United States")*('Assessment Matrix'!$F$3:$F$107="L"))*1)/(SUMPRODUCT(('Assessment Matrix'!$A$3:$A$107="Chemicals")*('Assessment Matrix'!$E$3:$E$107="United States")*(('Assessment Matrix'!$F$3:$F$107="H")+('Assessment Matrix'!$F$3:$F$107="M")+('Assessment Matrix'!$F$3:$F$107="L")))),"")</f>
        <v>1.25</v>
      </c>
      <c r="E9" s="35" t="n">
        <f aca="false">IFERROR((SUMPRODUCT(('Assessment Matrix'!$A$3:$A$107="Chemicals")*('Assessment Matrix'!$E$3:$E$107="China")*('Assessment Matrix'!$F$3:$F$107="H"))*3+SUMPRODUCT(('Assessment Matrix'!$A$3:$A$107="Chemicals")*('Assessment Matrix'!$E$3:$E$107="China")*('Assessment Matrix'!$F$3:$F$107="M"))*2+SUMPRODUCT(('Assessment Matrix'!$A$3:$A$107="Chemicals")*('Assessment Matrix'!$E$3:$E$107="China")*('Assessment Matrix'!$F$3:$F$107="L"))*1)/(SUMPRODUCT(('Assessment Matrix'!$A$3:$A$107="Chemicals")*('Assessment Matrix'!$E$3:$E$107="China")*(('Assessment Matrix'!$F$3:$F$107="H")+('Assessment Matrix'!$F$3:$F$107="M")+('Assessment Matrix'!$F$3:$F$107="L")))),"")</f>
        <v>1</v>
      </c>
    </row>
    <row r="10" customFormat="false" ht="15" hidden="false" customHeight="false" outlineLevel="0" collapsed="false">
      <c r="B10" s="24" t="s">
        <v>214</v>
      </c>
      <c r="C10" s="35" t="n">
        <f aca="false">IFERROR((SUMPRODUCT(('Assessment Matrix'!$A$3:$A$107="Critical Minerals &amp; Mining")*('Assessment Matrix'!$E$3:$E$107="European Union")*('Assessment Matrix'!$F$3:$F$107="H"))*3+SUMPRODUCT(('Assessment Matrix'!$A$3:$A$107="Critical Minerals &amp; Mining")*('Assessment Matrix'!$E$3:$E$107="European Union")*('Assessment Matrix'!$F$3:$F$107="M"))*2+SUMPRODUCT(('Assessment Matrix'!$A$3:$A$107="Critical Minerals &amp; Mining")*('Assessment Matrix'!$E$3:$E$107="European Union")*('Assessment Matrix'!$F$3:$F$107="L"))*1)/(SUMPRODUCT(('Assessment Matrix'!$A$3:$A$107="Critical Minerals &amp; Mining")*('Assessment Matrix'!$E$3:$E$107="European Union")*(('Assessment Matrix'!$F$3:$F$107="H")+('Assessment Matrix'!$F$3:$F$107="M")+('Assessment Matrix'!$F$3:$F$107="L")))),"")</f>
        <v>2.25</v>
      </c>
      <c r="D10" s="35" t="n">
        <f aca="false">IFERROR((SUMPRODUCT(('Assessment Matrix'!$A$3:$A$107="Critical Minerals &amp; Mining")*('Assessment Matrix'!$E$3:$E$107="United States")*('Assessment Matrix'!$F$3:$F$107="H"))*3+SUMPRODUCT(('Assessment Matrix'!$A$3:$A$107="Critical Minerals &amp; Mining")*('Assessment Matrix'!$E$3:$E$107="United States")*('Assessment Matrix'!$F$3:$F$107="M"))*2+SUMPRODUCT(('Assessment Matrix'!$A$3:$A$107="Critical Minerals &amp; Mining")*('Assessment Matrix'!$E$3:$E$107="United States")*('Assessment Matrix'!$F$3:$F$107="L"))*1)/(SUMPRODUCT(('Assessment Matrix'!$A$3:$A$107="Critical Minerals &amp; Mining")*('Assessment Matrix'!$E$3:$E$107="United States")*(('Assessment Matrix'!$F$3:$F$107="H")+('Assessment Matrix'!$F$3:$F$107="M")+('Assessment Matrix'!$F$3:$F$107="L")))),"")</f>
        <v>2</v>
      </c>
      <c r="E10" s="35" t="n">
        <f aca="false">IFERROR((SUMPRODUCT(('Assessment Matrix'!$A$3:$A$107="Critical Minerals &amp; Mining")*('Assessment Matrix'!$E$3:$E$107="China")*('Assessment Matrix'!$F$3:$F$107="H"))*3+SUMPRODUCT(('Assessment Matrix'!$A$3:$A$107="Critical Minerals &amp; Mining")*('Assessment Matrix'!$E$3:$E$107="China")*('Assessment Matrix'!$F$3:$F$107="M"))*2+SUMPRODUCT(('Assessment Matrix'!$A$3:$A$107="Critical Minerals &amp; Mining")*('Assessment Matrix'!$E$3:$E$107="China")*('Assessment Matrix'!$F$3:$F$107="L"))*1)/(SUMPRODUCT(('Assessment Matrix'!$A$3:$A$107="Critical Minerals &amp; Mining")*('Assessment Matrix'!$E$3:$E$107="China")*(('Assessment Matrix'!$F$3:$F$107="H")+('Assessment Matrix'!$F$3:$F$107="M")+('Assessment Matrix'!$F$3:$F$107="L")))),"")</f>
        <v>2.5</v>
      </c>
    </row>
    <row r="11" customFormat="false" ht="15" hidden="false" customHeight="false" outlineLevel="0" collapsed="false">
      <c r="B11" s="24" t="s">
        <v>251</v>
      </c>
      <c r="C11" s="35" t="n">
        <f aca="false">IFERROR((SUMPRODUCT(('Assessment Matrix'!$A$3:$A$107="Aviation")*('Assessment Matrix'!$E$3:$E$107="European Union")*('Assessment Matrix'!$F$3:$F$107="H"))*3+SUMPRODUCT(('Assessment Matrix'!$A$3:$A$107="Aviation")*('Assessment Matrix'!$E$3:$E$107="European Union")*('Assessment Matrix'!$F$3:$F$107="M"))*2+SUMPRODUCT(('Assessment Matrix'!$A$3:$A$107="Aviation")*('Assessment Matrix'!$E$3:$E$107="European Union")*('Assessment Matrix'!$F$3:$F$107="L"))*1)/(SUMPRODUCT(('Assessment Matrix'!$A$3:$A$107="Aviation")*('Assessment Matrix'!$E$3:$E$107="European Union")*(('Assessment Matrix'!$F$3:$F$107="H")+('Assessment Matrix'!$F$3:$F$107="M")+('Assessment Matrix'!$F$3:$F$107="L")))),"")</f>
        <v>2</v>
      </c>
      <c r="D11" s="35" t="n">
        <f aca="false">IFERROR((SUMPRODUCT(('Assessment Matrix'!$A$3:$A$107="Aviation")*('Assessment Matrix'!$E$3:$E$107="United States")*('Assessment Matrix'!$F$3:$F$107="H"))*3+SUMPRODUCT(('Assessment Matrix'!$A$3:$A$107="Aviation")*('Assessment Matrix'!$E$3:$E$107="United States")*('Assessment Matrix'!$F$3:$F$107="M"))*2+SUMPRODUCT(('Assessment Matrix'!$A$3:$A$107="Aviation")*('Assessment Matrix'!$E$3:$E$107="United States")*('Assessment Matrix'!$F$3:$F$107="L"))*1)/(SUMPRODUCT(('Assessment Matrix'!$A$3:$A$107="Aviation")*('Assessment Matrix'!$E$3:$E$107="United States")*(('Assessment Matrix'!$F$3:$F$107="H")+('Assessment Matrix'!$F$3:$F$107="M")+('Assessment Matrix'!$F$3:$F$107="L")))),"")</f>
        <v>1.66666666666667</v>
      </c>
      <c r="E11" s="35" t="n">
        <f aca="false">IFERROR((SUMPRODUCT(('Assessment Matrix'!$A$3:$A$107="Aviation")*('Assessment Matrix'!$E$3:$E$107="China")*('Assessment Matrix'!$F$3:$F$107="H"))*3+SUMPRODUCT(('Assessment Matrix'!$A$3:$A$107="Aviation")*('Assessment Matrix'!$E$3:$E$107="China")*('Assessment Matrix'!$F$3:$F$107="M"))*2+SUMPRODUCT(('Assessment Matrix'!$A$3:$A$107="Aviation")*('Assessment Matrix'!$E$3:$E$107="China")*('Assessment Matrix'!$F$3:$F$107="L"))*1)/(SUMPRODUCT(('Assessment Matrix'!$A$3:$A$107="Aviation")*('Assessment Matrix'!$E$3:$E$107="China")*(('Assessment Matrix'!$F$3:$F$107="H")+('Assessment Matrix'!$F$3:$F$107="M")+('Assessment Matrix'!$F$3:$F$107="L")))),"")</f>
        <v>1</v>
      </c>
    </row>
    <row r="12" customFormat="false" ht="15" hidden="false" customHeight="false" outlineLevel="0" collapsed="false">
      <c r="B12" s="24" t="s">
        <v>279</v>
      </c>
      <c r="C12" s="35" t="n">
        <f aca="false">IFERROR((SUMPRODUCT(('Assessment Matrix'!$A$3:$A$107="Shipping")*('Assessment Matrix'!$E$3:$E$107="European Union")*('Assessment Matrix'!$F$3:$F$107="H"))*3+SUMPRODUCT(('Assessment Matrix'!$A$3:$A$107="Shipping")*('Assessment Matrix'!$E$3:$E$107="European Union")*('Assessment Matrix'!$F$3:$F$107="M"))*2+SUMPRODUCT(('Assessment Matrix'!$A$3:$A$107="Shipping")*('Assessment Matrix'!$E$3:$E$107="European Union")*('Assessment Matrix'!$F$3:$F$107="L"))*1)/(SUMPRODUCT(('Assessment Matrix'!$A$3:$A$107="Shipping")*('Assessment Matrix'!$E$3:$E$107="European Union")*(('Assessment Matrix'!$F$3:$F$107="H")+('Assessment Matrix'!$F$3:$F$107="M")+('Assessment Matrix'!$F$3:$F$107="L")))),"")</f>
        <v>2.33333333333333</v>
      </c>
      <c r="D12" s="35" t="n">
        <f aca="false">IFERROR((SUMPRODUCT(('Assessment Matrix'!$A$3:$A$107="Shipping")*('Assessment Matrix'!$E$3:$E$107="United States")*('Assessment Matrix'!$F$3:$F$107="H"))*3+SUMPRODUCT(('Assessment Matrix'!$A$3:$A$107="Shipping")*('Assessment Matrix'!$E$3:$E$107="United States")*('Assessment Matrix'!$F$3:$F$107="M"))*2+SUMPRODUCT(('Assessment Matrix'!$A$3:$A$107="Shipping")*('Assessment Matrix'!$E$3:$E$107="United States")*('Assessment Matrix'!$F$3:$F$107="L"))*1)/(SUMPRODUCT(('Assessment Matrix'!$A$3:$A$107="Shipping")*('Assessment Matrix'!$E$3:$E$107="United States")*(('Assessment Matrix'!$F$3:$F$107="H")+('Assessment Matrix'!$F$3:$F$107="M")+('Assessment Matrix'!$F$3:$F$107="L")))),"")</f>
        <v>1.33333333333333</v>
      </c>
      <c r="E12" s="35" t="n">
        <f aca="false">IFERROR((SUMPRODUCT(('Assessment Matrix'!$A$3:$A$107="Shipping")*('Assessment Matrix'!$E$3:$E$107="China")*('Assessment Matrix'!$F$3:$F$107="H"))*3+SUMPRODUCT(('Assessment Matrix'!$A$3:$A$107="Shipping")*('Assessment Matrix'!$E$3:$E$107="China")*('Assessment Matrix'!$F$3:$F$107="M"))*2+SUMPRODUCT(('Assessment Matrix'!$A$3:$A$107="Shipping")*('Assessment Matrix'!$E$3:$E$107="China")*('Assessment Matrix'!$F$3:$F$107="L"))*1)/(SUMPRODUCT(('Assessment Matrix'!$A$3:$A$107="Shipping")*('Assessment Matrix'!$E$3:$E$107="China")*(('Assessment Matrix'!$F$3:$F$107="H")+('Assessment Matrix'!$F$3:$F$107="M")+('Assessment Matrix'!$F$3:$F$107="L")))),"")</f>
        <v>1.66666666666667</v>
      </c>
    </row>
    <row r="13" customFormat="false" ht="15" hidden="false" customHeight="false" outlineLevel="0" collapsed="false">
      <c r="B13" s="24" t="s">
        <v>307</v>
      </c>
      <c r="C13" s="35" t="n">
        <f aca="false">IFERROR((SUMPRODUCT(('Assessment Matrix'!$A$3:$A$107="Heavy-Duty Road Transport")*('Assessment Matrix'!$E$3:$E$107="European Union")*('Assessment Matrix'!$F$3:$F$107="H"))*3+SUMPRODUCT(('Assessment Matrix'!$A$3:$A$107="Heavy-Duty Road Transport")*('Assessment Matrix'!$E$3:$E$107="European Union")*('Assessment Matrix'!$F$3:$F$107="M"))*2+SUMPRODUCT(('Assessment Matrix'!$A$3:$A$107="Heavy-Duty Road Transport")*('Assessment Matrix'!$E$3:$E$107="European Union")*('Assessment Matrix'!$F$3:$F$107="L"))*1)/(SUMPRODUCT(('Assessment Matrix'!$A$3:$A$107="Heavy-Duty Road Transport")*('Assessment Matrix'!$E$3:$E$107="European Union")*(('Assessment Matrix'!$F$3:$F$107="H")+('Assessment Matrix'!$F$3:$F$107="M")+('Assessment Matrix'!$F$3:$F$107="L")))),"")</f>
        <v>2.33333333333333</v>
      </c>
      <c r="D13" s="35" t="n">
        <f aca="false">IFERROR((SUMPRODUCT(('Assessment Matrix'!$A$3:$A$107="Heavy-Duty Road Transport")*('Assessment Matrix'!$E$3:$E$107="United States")*('Assessment Matrix'!$F$3:$F$107="H"))*3+SUMPRODUCT(('Assessment Matrix'!$A$3:$A$107="Heavy-Duty Road Transport")*('Assessment Matrix'!$E$3:$E$107="United States")*('Assessment Matrix'!$F$3:$F$107="M"))*2+SUMPRODUCT(('Assessment Matrix'!$A$3:$A$107="Heavy-Duty Road Transport")*('Assessment Matrix'!$E$3:$E$107="United States")*('Assessment Matrix'!$F$3:$F$107="L"))*1)/(SUMPRODUCT(('Assessment Matrix'!$A$3:$A$107="Heavy-Duty Road Transport")*('Assessment Matrix'!$E$3:$E$107="United States")*(('Assessment Matrix'!$F$3:$F$107="H")+('Assessment Matrix'!$F$3:$F$107="M")+('Assessment Matrix'!$F$3:$F$107="L")))),"")</f>
        <v>1.66666666666667</v>
      </c>
      <c r="E13" s="35" t="n">
        <f aca="false">IFERROR((SUMPRODUCT(('Assessment Matrix'!$A$3:$A$107="Heavy-Duty Road Transport")*('Assessment Matrix'!$E$3:$E$107="China")*('Assessment Matrix'!$F$3:$F$107="H"))*3+SUMPRODUCT(('Assessment Matrix'!$A$3:$A$107="Heavy-Duty Road Transport")*('Assessment Matrix'!$E$3:$E$107="China")*('Assessment Matrix'!$F$3:$F$107="M"))*2+SUMPRODUCT(('Assessment Matrix'!$A$3:$A$107="Heavy-Duty Road Transport")*('Assessment Matrix'!$E$3:$E$107="China")*('Assessment Matrix'!$F$3:$F$107="L"))*1)/(SUMPRODUCT(('Assessment Matrix'!$A$3:$A$107="Heavy-Duty Road Transport")*('Assessment Matrix'!$E$3:$E$107="China")*(('Assessment Matrix'!$F$3:$F$107="H")+('Assessment Matrix'!$F$3:$F$107="M")+('Assessment Matrix'!$F$3:$F$107="L")))),"")</f>
        <v>2.33333333333333</v>
      </c>
    </row>
    <row r="14" customFormat="false" ht="15" hidden="false" customHeight="false" outlineLevel="0" collapsed="false">
      <c r="B14" s="24" t="s">
        <v>335</v>
      </c>
      <c r="C14" s="35" t="n">
        <f aca="false">IFERROR((SUMPRODUCT(('Assessment Matrix'!$A$3:$A$107="Oil &amp; Gas Upstream")*('Assessment Matrix'!$E$3:$E$107="European Union")*('Assessment Matrix'!$F$3:$F$107="H"))*3+SUMPRODUCT(('Assessment Matrix'!$A$3:$A$107="Oil &amp; Gas Upstream")*('Assessment Matrix'!$E$3:$E$107="European Union")*('Assessment Matrix'!$F$3:$F$107="M"))*2+SUMPRODUCT(('Assessment Matrix'!$A$3:$A$107="Oil &amp; Gas Upstream")*('Assessment Matrix'!$E$3:$E$107="European Union")*('Assessment Matrix'!$F$3:$F$107="L"))*1)/(SUMPRODUCT(('Assessment Matrix'!$A$3:$A$107="Oil &amp; Gas Upstream")*('Assessment Matrix'!$E$3:$E$107="European Union")*(('Assessment Matrix'!$F$3:$F$107="H")+('Assessment Matrix'!$F$3:$F$107="M")+('Assessment Matrix'!$F$3:$F$107="L")))),"")</f>
        <v>2.33333333333333</v>
      </c>
      <c r="D14" s="35" t="n">
        <f aca="false">IFERROR((SUMPRODUCT(('Assessment Matrix'!$A$3:$A$107="Oil &amp; Gas Upstream")*('Assessment Matrix'!$E$3:$E$107="United States")*('Assessment Matrix'!$F$3:$F$107="H"))*3+SUMPRODUCT(('Assessment Matrix'!$A$3:$A$107="Oil &amp; Gas Upstream")*('Assessment Matrix'!$E$3:$E$107="United States")*('Assessment Matrix'!$F$3:$F$107="M"))*2+SUMPRODUCT(('Assessment Matrix'!$A$3:$A$107="Oil &amp; Gas Upstream")*('Assessment Matrix'!$E$3:$E$107="United States")*('Assessment Matrix'!$F$3:$F$107="L"))*1)/(SUMPRODUCT(('Assessment Matrix'!$A$3:$A$107="Oil &amp; Gas Upstream")*('Assessment Matrix'!$E$3:$E$107="United States")*(('Assessment Matrix'!$F$3:$F$107="H")+('Assessment Matrix'!$F$3:$F$107="M")+('Assessment Matrix'!$F$3:$F$107="L")))),"")</f>
        <v>1.66666666666667</v>
      </c>
      <c r="E14" s="35" t="n">
        <f aca="false">IFERROR((SUMPRODUCT(('Assessment Matrix'!$A$3:$A$107="Oil &amp; Gas Upstream")*('Assessment Matrix'!$E$3:$E$107="China")*('Assessment Matrix'!$F$3:$F$107="H"))*3+SUMPRODUCT(('Assessment Matrix'!$A$3:$A$107="Oil &amp; Gas Upstream")*('Assessment Matrix'!$E$3:$E$107="China")*('Assessment Matrix'!$F$3:$F$107="M"))*2+SUMPRODUCT(('Assessment Matrix'!$A$3:$A$107="Oil &amp; Gas Upstream")*('Assessment Matrix'!$E$3:$E$107="China")*('Assessment Matrix'!$F$3:$F$107="L"))*1)/(SUMPRODUCT(('Assessment Matrix'!$A$3:$A$107="Oil &amp; Gas Upstream")*('Assessment Matrix'!$E$3:$E$107="China")*(('Assessment Matrix'!$F$3:$F$107="H")+('Assessment Matrix'!$F$3:$F$107="M")+('Assessment Matrix'!$F$3:$F$107="L")))),"")</f>
        <v>1.33333333333333</v>
      </c>
    </row>
    <row r="16" customFormat="false" ht="15" hidden="false" customHeight="false" outlineLevel="0" collapsed="false">
      <c r="B16" s="10" t="s">
        <v>880</v>
      </c>
    </row>
    <row r="17" customFormat="false" ht="15" hidden="false" customHeight="false" outlineLevel="0" collapsed="false">
      <c r="B17" s="10" t="s">
        <v>881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38</v>
      </c>
    </row>
    <row r="3" customFormat="false" ht="15" hidden="false" customHeight="false" outlineLevel="0" collapsed="false">
      <c r="B3" s="2" t="s">
        <v>882</v>
      </c>
    </row>
    <row r="4" customFormat="false" ht="15" hidden="false" customHeight="false" outlineLevel="0" collapsed="false">
      <c r="B4" s="36" t="s">
        <v>883</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40</v>
      </c>
      <c r="D7" s="25" t="s">
        <v>41</v>
      </c>
      <c r="E7" s="25" t="s">
        <v>685</v>
      </c>
      <c r="F7" s="26" t="s">
        <v>686</v>
      </c>
      <c r="G7" s="27" t="s">
        <v>687</v>
      </c>
      <c r="H7" s="28" t="s">
        <v>688</v>
      </c>
      <c r="I7" s="29" t="s">
        <v>689</v>
      </c>
    </row>
    <row r="8" customFormat="false" ht="45.75" hidden="false" customHeight="true" outlineLevel="0" collapsed="false">
      <c r="B8" s="25" t="s">
        <v>39</v>
      </c>
      <c r="C8" s="24" t="s">
        <v>40</v>
      </c>
      <c r="D8" s="25" t="s">
        <v>41</v>
      </c>
      <c r="E8" s="25" t="s">
        <v>691</v>
      </c>
      <c r="F8" s="26" t="s">
        <v>686</v>
      </c>
      <c r="G8" s="27" t="s">
        <v>687</v>
      </c>
      <c r="H8" s="28" t="s">
        <v>692</v>
      </c>
      <c r="I8" s="29" t="s">
        <v>693</v>
      </c>
    </row>
    <row r="9" customFormat="false" ht="45.75" hidden="false" customHeight="true" outlineLevel="0" collapsed="false">
      <c r="B9" s="25" t="s">
        <v>39</v>
      </c>
      <c r="C9" s="24" t="s">
        <v>40</v>
      </c>
      <c r="D9" s="25" t="s">
        <v>41</v>
      </c>
      <c r="E9" s="25" t="s">
        <v>694</v>
      </c>
      <c r="F9" s="26" t="s">
        <v>686</v>
      </c>
      <c r="G9" s="31" t="s">
        <v>695</v>
      </c>
      <c r="H9" s="28" t="s">
        <v>696</v>
      </c>
      <c r="I9" s="29" t="s">
        <v>689</v>
      </c>
    </row>
    <row r="10" customFormat="false" ht="45.75" hidden="false" customHeight="true" outlineLevel="0" collapsed="false">
      <c r="B10" s="25" t="s">
        <v>39</v>
      </c>
      <c r="C10" s="24" t="s">
        <v>49</v>
      </c>
      <c r="D10" s="25" t="s">
        <v>50</v>
      </c>
      <c r="E10" s="25" t="s">
        <v>685</v>
      </c>
      <c r="F10" s="32" t="s">
        <v>697</v>
      </c>
      <c r="G10" s="31" t="s">
        <v>695</v>
      </c>
      <c r="H10" s="28" t="s">
        <v>698</v>
      </c>
      <c r="I10" s="29" t="s">
        <v>699</v>
      </c>
    </row>
    <row r="11" customFormat="false" ht="45.75" hidden="false" customHeight="true" outlineLevel="0" collapsed="false">
      <c r="B11" s="25" t="s">
        <v>39</v>
      </c>
      <c r="C11" s="24" t="s">
        <v>49</v>
      </c>
      <c r="D11" s="25" t="s">
        <v>50</v>
      </c>
      <c r="E11" s="25" t="s">
        <v>691</v>
      </c>
      <c r="F11" s="32" t="s">
        <v>697</v>
      </c>
      <c r="G11" s="31" t="s">
        <v>695</v>
      </c>
      <c r="H11" s="28" t="s">
        <v>700</v>
      </c>
      <c r="I11" s="29" t="s">
        <v>701</v>
      </c>
    </row>
    <row r="12" customFormat="false" ht="45.75" hidden="false" customHeight="true" outlineLevel="0" collapsed="false">
      <c r="B12" s="25" t="s">
        <v>39</v>
      </c>
      <c r="C12" s="24" t="s">
        <v>49</v>
      </c>
      <c r="D12" s="25" t="s">
        <v>50</v>
      </c>
      <c r="E12" s="25" t="s">
        <v>694</v>
      </c>
      <c r="F12" s="32" t="s">
        <v>697</v>
      </c>
      <c r="G12" s="31" t="s">
        <v>695</v>
      </c>
      <c r="H12" s="28" t="s">
        <v>702</v>
      </c>
      <c r="I12" s="29" t="s">
        <v>703</v>
      </c>
    </row>
    <row r="13" customFormat="false" ht="45.75" hidden="false" customHeight="true" outlineLevel="0" collapsed="false">
      <c r="B13" s="25" t="s">
        <v>58</v>
      </c>
      <c r="C13" s="24" t="s">
        <v>59</v>
      </c>
      <c r="D13" s="25" t="s">
        <v>60</v>
      </c>
      <c r="E13" s="25" t="s">
        <v>685</v>
      </c>
      <c r="F13" s="26" t="s">
        <v>686</v>
      </c>
      <c r="G13" s="27" t="s">
        <v>687</v>
      </c>
      <c r="H13" s="28" t="s">
        <v>704</v>
      </c>
      <c r="I13" s="29" t="s">
        <v>705</v>
      </c>
    </row>
    <row r="14" customFormat="false" ht="45.75" hidden="false" customHeight="true" outlineLevel="0" collapsed="false">
      <c r="B14" s="25" t="s">
        <v>58</v>
      </c>
      <c r="C14" s="24" t="s">
        <v>59</v>
      </c>
      <c r="D14" s="25" t="s">
        <v>60</v>
      </c>
      <c r="E14" s="25" t="s">
        <v>691</v>
      </c>
      <c r="F14" s="32" t="s">
        <v>697</v>
      </c>
      <c r="G14" s="27" t="s">
        <v>687</v>
      </c>
      <c r="H14" s="28" t="s">
        <v>706</v>
      </c>
      <c r="I14" s="29" t="s">
        <v>659</v>
      </c>
    </row>
    <row r="15" customFormat="false" ht="45.75" hidden="false" customHeight="true" outlineLevel="0" collapsed="false">
      <c r="B15" s="25" t="s">
        <v>58</v>
      </c>
      <c r="C15" s="24" t="s">
        <v>59</v>
      </c>
      <c r="D15" s="25" t="s">
        <v>60</v>
      </c>
      <c r="E15" s="25" t="s">
        <v>694</v>
      </c>
      <c r="F15" s="32" t="s">
        <v>697</v>
      </c>
      <c r="G15" s="27" t="s">
        <v>687</v>
      </c>
      <c r="H15" s="28" t="s">
        <v>707</v>
      </c>
      <c r="I15" s="29" t="s">
        <v>708</v>
      </c>
    </row>
    <row r="16" customFormat="false" ht="45.75" hidden="false" customHeight="true" outlineLevel="0" collapsed="false">
      <c r="B16" s="25" t="s">
        <v>58</v>
      </c>
      <c r="C16" s="24" t="s">
        <v>68</v>
      </c>
      <c r="D16" s="25" t="s">
        <v>69</v>
      </c>
      <c r="E16" s="25" t="s">
        <v>685</v>
      </c>
      <c r="F16" s="26" t="s">
        <v>686</v>
      </c>
      <c r="G16" s="27" t="s">
        <v>687</v>
      </c>
      <c r="H16" s="28" t="s">
        <v>709</v>
      </c>
      <c r="I16" s="29" t="s">
        <v>710</v>
      </c>
    </row>
    <row r="17" customFormat="false" ht="45.75" hidden="false" customHeight="true" outlineLevel="0" collapsed="false">
      <c r="B17" s="25" t="s">
        <v>58</v>
      </c>
      <c r="C17" s="24" t="s">
        <v>68</v>
      </c>
      <c r="D17" s="25" t="s">
        <v>69</v>
      </c>
      <c r="E17" s="25" t="s">
        <v>691</v>
      </c>
      <c r="F17" s="32" t="s">
        <v>697</v>
      </c>
      <c r="G17" s="27" t="s">
        <v>687</v>
      </c>
      <c r="H17" s="28" t="s">
        <v>711</v>
      </c>
      <c r="I17" s="29" t="s">
        <v>712</v>
      </c>
    </row>
    <row r="18" customFormat="false" ht="45.75" hidden="false" customHeight="true" outlineLevel="0" collapsed="false">
      <c r="B18" s="25" t="s">
        <v>58</v>
      </c>
      <c r="C18" s="24" t="s">
        <v>68</v>
      </c>
      <c r="D18" s="25" t="s">
        <v>69</v>
      </c>
      <c r="E18" s="25" t="s">
        <v>694</v>
      </c>
      <c r="F18" s="26" t="s">
        <v>686</v>
      </c>
      <c r="G18" s="27" t="s">
        <v>687</v>
      </c>
      <c r="H18" s="28" t="s">
        <v>713</v>
      </c>
      <c r="I18" s="29" t="s">
        <v>714</v>
      </c>
    </row>
    <row r="19" customFormat="false" ht="45.75" hidden="false" customHeight="true" outlineLevel="0" collapsed="false">
      <c r="B19" s="25" t="s">
        <v>77</v>
      </c>
      <c r="C19" s="24" t="s">
        <v>78</v>
      </c>
      <c r="D19" s="25" t="s">
        <v>79</v>
      </c>
      <c r="E19" s="25" t="s">
        <v>685</v>
      </c>
      <c r="F19" s="26" t="s">
        <v>686</v>
      </c>
      <c r="G19" s="31" t="s">
        <v>695</v>
      </c>
      <c r="H19" s="28" t="s">
        <v>715</v>
      </c>
      <c r="I19" s="29" t="s">
        <v>383</v>
      </c>
    </row>
    <row r="20" customFormat="false" ht="45.75" hidden="false" customHeight="true" outlineLevel="0" collapsed="false">
      <c r="B20" s="25" t="s">
        <v>77</v>
      </c>
      <c r="C20" s="24" t="s">
        <v>78</v>
      </c>
      <c r="D20" s="25" t="s">
        <v>79</v>
      </c>
      <c r="E20" s="25" t="s">
        <v>691</v>
      </c>
      <c r="F20" s="26" t="s">
        <v>686</v>
      </c>
      <c r="G20" s="31" t="s">
        <v>695</v>
      </c>
      <c r="H20" s="28" t="s">
        <v>716</v>
      </c>
      <c r="I20" s="29" t="s">
        <v>383</v>
      </c>
    </row>
    <row r="21" customFormat="false" ht="45.75" hidden="false" customHeight="true" outlineLevel="0" collapsed="false">
      <c r="B21" s="25" t="s">
        <v>77</v>
      </c>
      <c r="C21" s="24" t="s">
        <v>78</v>
      </c>
      <c r="D21" s="25" t="s">
        <v>79</v>
      </c>
      <c r="E21" s="25" t="s">
        <v>694</v>
      </c>
      <c r="F21" s="32" t="s">
        <v>697</v>
      </c>
      <c r="G21" s="33" t="s">
        <v>717</v>
      </c>
      <c r="H21" s="28" t="s">
        <v>718</v>
      </c>
      <c r="I21" s="29" t="s">
        <v>719</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87</v>
      </c>
    </row>
    <row r="3" customFormat="false" ht="15" hidden="false" customHeight="false" outlineLevel="0" collapsed="false">
      <c r="B3" s="2" t="s">
        <v>886</v>
      </c>
    </row>
    <row r="4" customFormat="false" ht="15" hidden="false" customHeight="false" outlineLevel="0" collapsed="false">
      <c r="B4" s="36" t="s">
        <v>887</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88</v>
      </c>
      <c r="D7" s="25" t="s">
        <v>89</v>
      </c>
      <c r="E7" s="25" t="s">
        <v>685</v>
      </c>
      <c r="F7" s="32" t="s">
        <v>697</v>
      </c>
      <c r="G7" s="31" t="s">
        <v>695</v>
      </c>
      <c r="H7" s="28" t="s">
        <v>720</v>
      </c>
      <c r="I7" s="29" t="s">
        <v>721</v>
      </c>
    </row>
    <row r="8" customFormat="false" ht="45.75" hidden="false" customHeight="true" outlineLevel="0" collapsed="false">
      <c r="B8" s="25" t="s">
        <v>39</v>
      </c>
      <c r="C8" s="24" t="s">
        <v>88</v>
      </c>
      <c r="D8" s="25" t="s">
        <v>89</v>
      </c>
      <c r="E8" s="25" t="s">
        <v>691</v>
      </c>
      <c r="F8" s="32" t="s">
        <v>697</v>
      </c>
      <c r="G8" s="27" t="s">
        <v>687</v>
      </c>
      <c r="H8" s="28" t="s">
        <v>722</v>
      </c>
      <c r="I8" s="29" t="s">
        <v>723</v>
      </c>
    </row>
    <row r="9" customFormat="false" ht="45.75" hidden="false" customHeight="true" outlineLevel="0" collapsed="false">
      <c r="B9" s="25" t="s">
        <v>39</v>
      </c>
      <c r="C9" s="24" t="s">
        <v>88</v>
      </c>
      <c r="D9" s="25" t="s">
        <v>89</v>
      </c>
      <c r="E9" s="25" t="s">
        <v>694</v>
      </c>
      <c r="F9" s="34" t="s">
        <v>724</v>
      </c>
      <c r="G9" s="33" t="s">
        <v>717</v>
      </c>
      <c r="H9" s="28" t="s">
        <v>725</v>
      </c>
      <c r="I9" s="29" t="s">
        <v>726</v>
      </c>
    </row>
    <row r="10" customFormat="false" ht="45.75" hidden="false" customHeight="true" outlineLevel="0" collapsed="false">
      <c r="B10" s="25" t="s">
        <v>39</v>
      </c>
      <c r="C10" s="24" t="s">
        <v>97</v>
      </c>
      <c r="D10" s="25" t="s">
        <v>98</v>
      </c>
      <c r="E10" s="25" t="s">
        <v>685</v>
      </c>
      <c r="F10" s="32" t="s">
        <v>697</v>
      </c>
      <c r="G10" s="31" t="s">
        <v>695</v>
      </c>
      <c r="H10" s="28" t="s">
        <v>727</v>
      </c>
      <c r="I10" s="29" t="s">
        <v>669</v>
      </c>
    </row>
    <row r="11" customFormat="false" ht="45.75" hidden="false" customHeight="true" outlineLevel="0" collapsed="false">
      <c r="B11" s="25" t="s">
        <v>39</v>
      </c>
      <c r="C11" s="24" t="s">
        <v>97</v>
      </c>
      <c r="D11" s="25" t="s">
        <v>98</v>
      </c>
      <c r="E11" s="25" t="s">
        <v>691</v>
      </c>
      <c r="F11" s="26" t="s">
        <v>686</v>
      </c>
      <c r="G11" s="27" t="s">
        <v>687</v>
      </c>
      <c r="H11" s="28" t="s">
        <v>728</v>
      </c>
      <c r="I11" s="29" t="s">
        <v>729</v>
      </c>
    </row>
    <row r="12" customFormat="false" ht="45.75" hidden="false" customHeight="true" outlineLevel="0" collapsed="false">
      <c r="B12" s="25" t="s">
        <v>39</v>
      </c>
      <c r="C12" s="24" t="s">
        <v>97</v>
      </c>
      <c r="D12" s="25" t="s">
        <v>98</v>
      </c>
      <c r="E12" s="25" t="s">
        <v>694</v>
      </c>
      <c r="F12" s="34" t="s">
        <v>724</v>
      </c>
      <c r="G12" s="31" t="s">
        <v>695</v>
      </c>
      <c r="H12" s="28" t="s">
        <v>730</v>
      </c>
      <c r="I12" s="29" t="s">
        <v>731</v>
      </c>
    </row>
    <row r="13" customFormat="false" ht="45.75" hidden="false" customHeight="true" outlineLevel="0" collapsed="false">
      <c r="B13" s="25" t="s">
        <v>58</v>
      </c>
      <c r="C13" s="24" t="s">
        <v>106</v>
      </c>
      <c r="D13" s="25" t="s">
        <v>107</v>
      </c>
      <c r="E13" s="25" t="s">
        <v>685</v>
      </c>
      <c r="F13" s="26" t="s">
        <v>686</v>
      </c>
      <c r="G13" s="27" t="s">
        <v>687</v>
      </c>
      <c r="H13" s="28" t="s">
        <v>732</v>
      </c>
      <c r="I13" s="29" t="s">
        <v>733</v>
      </c>
    </row>
    <row r="14" customFormat="false" ht="45.75" hidden="false" customHeight="true" outlineLevel="0" collapsed="false">
      <c r="B14" s="25" t="s">
        <v>58</v>
      </c>
      <c r="C14" s="24" t="s">
        <v>106</v>
      </c>
      <c r="D14" s="25" t="s">
        <v>107</v>
      </c>
      <c r="E14" s="25" t="s">
        <v>691</v>
      </c>
      <c r="F14" s="34" t="s">
        <v>724</v>
      </c>
      <c r="G14" s="27" t="s">
        <v>687</v>
      </c>
      <c r="H14" s="28" t="s">
        <v>734</v>
      </c>
      <c r="I14" s="29" t="s">
        <v>659</v>
      </c>
    </row>
    <row r="15" customFormat="false" ht="45.75" hidden="false" customHeight="true" outlineLevel="0" collapsed="false">
      <c r="B15" s="25" t="s">
        <v>58</v>
      </c>
      <c r="C15" s="24" t="s">
        <v>106</v>
      </c>
      <c r="D15" s="25" t="s">
        <v>107</v>
      </c>
      <c r="E15" s="25" t="s">
        <v>694</v>
      </c>
      <c r="F15" s="34" t="s">
        <v>724</v>
      </c>
      <c r="G15" s="27" t="s">
        <v>687</v>
      </c>
      <c r="H15" s="28" t="s">
        <v>735</v>
      </c>
      <c r="I15" s="29" t="s">
        <v>736</v>
      </c>
    </row>
    <row r="16" customFormat="false" ht="45.75" hidden="false" customHeight="true" outlineLevel="0" collapsed="false">
      <c r="B16" s="25" t="s">
        <v>58</v>
      </c>
      <c r="C16" s="24" t="s">
        <v>115</v>
      </c>
      <c r="D16" s="25" t="s">
        <v>116</v>
      </c>
      <c r="E16" s="25" t="s">
        <v>685</v>
      </c>
      <c r="F16" s="32" t="s">
        <v>697</v>
      </c>
      <c r="G16" s="31" t="s">
        <v>695</v>
      </c>
      <c r="H16" s="28" t="s">
        <v>737</v>
      </c>
      <c r="I16" s="29" t="s">
        <v>738</v>
      </c>
    </row>
    <row r="17" customFormat="false" ht="45.75" hidden="false" customHeight="true" outlineLevel="0" collapsed="false">
      <c r="B17" s="25" t="s">
        <v>58</v>
      </c>
      <c r="C17" s="24" t="s">
        <v>115</v>
      </c>
      <c r="D17" s="25" t="s">
        <v>116</v>
      </c>
      <c r="E17" s="25" t="s">
        <v>691</v>
      </c>
      <c r="F17" s="32" t="s">
        <v>697</v>
      </c>
      <c r="G17" s="31" t="s">
        <v>695</v>
      </c>
      <c r="H17" s="28" t="s">
        <v>739</v>
      </c>
      <c r="I17" s="29" t="s">
        <v>740</v>
      </c>
    </row>
    <row r="18" customFormat="false" ht="45.75" hidden="false" customHeight="true" outlineLevel="0" collapsed="false">
      <c r="B18" s="25" t="s">
        <v>58</v>
      </c>
      <c r="C18" s="24" t="s">
        <v>115</v>
      </c>
      <c r="D18" s="25" t="s">
        <v>116</v>
      </c>
      <c r="E18" s="25" t="s">
        <v>694</v>
      </c>
      <c r="F18" s="34" t="s">
        <v>724</v>
      </c>
      <c r="G18" s="33" t="s">
        <v>717</v>
      </c>
      <c r="H18" s="28" t="s">
        <v>741</v>
      </c>
      <c r="I18" s="29" t="s">
        <v>742</v>
      </c>
    </row>
    <row r="19" customFormat="false" ht="45.75" hidden="false" customHeight="true" outlineLevel="0" collapsed="false">
      <c r="B19" s="25" t="s">
        <v>77</v>
      </c>
      <c r="C19" s="24" t="s">
        <v>124</v>
      </c>
      <c r="D19" s="25" t="s">
        <v>125</v>
      </c>
      <c r="E19" s="25" t="s">
        <v>685</v>
      </c>
      <c r="F19" s="26" t="s">
        <v>686</v>
      </c>
      <c r="G19" s="27" t="s">
        <v>687</v>
      </c>
      <c r="H19" s="28" t="s">
        <v>743</v>
      </c>
      <c r="I19" s="29" t="s">
        <v>744</v>
      </c>
    </row>
    <row r="20" customFormat="false" ht="45.75" hidden="false" customHeight="true" outlineLevel="0" collapsed="false">
      <c r="B20" s="25" t="s">
        <v>77</v>
      </c>
      <c r="C20" s="24" t="s">
        <v>124</v>
      </c>
      <c r="D20" s="25" t="s">
        <v>125</v>
      </c>
      <c r="E20" s="25" t="s">
        <v>691</v>
      </c>
      <c r="F20" s="32" t="s">
        <v>697</v>
      </c>
      <c r="G20" s="31" t="s">
        <v>695</v>
      </c>
      <c r="H20" s="28" t="s">
        <v>745</v>
      </c>
      <c r="I20" s="29" t="s">
        <v>746</v>
      </c>
    </row>
    <row r="21" customFormat="false" ht="45.75" hidden="false" customHeight="true" outlineLevel="0" collapsed="false">
      <c r="B21" s="25" t="s">
        <v>77</v>
      </c>
      <c r="C21" s="24" t="s">
        <v>124</v>
      </c>
      <c r="D21" s="25" t="s">
        <v>125</v>
      </c>
      <c r="E21" s="25" t="s">
        <v>694</v>
      </c>
      <c r="F21" s="34" t="s">
        <v>724</v>
      </c>
      <c r="G21" s="31" t="s">
        <v>695</v>
      </c>
      <c r="H21" s="28" t="s">
        <v>747</v>
      </c>
      <c r="I21" s="29" t="s">
        <v>748</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133</v>
      </c>
    </row>
    <row r="3" customFormat="false" ht="15" hidden="false" customHeight="false" outlineLevel="0" collapsed="false">
      <c r="B3" s="2" t="s">
        <v>888</v>
      </c>
    </row>
    <row r="4" customFormat="false" ht="15" hidden="false" customHeight="false" outlineLevel="0" collapsed="false">
      <c r="B4" s="36" t="s">
        <v>889</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134</v>
      </c>
      <c r="D7" s="25" t="s">
        <v>135</v>
      </c>
      <c r="E7" s="25" t="s">
        <v>685</v>
      </c>
      <c r="F7" s="26" t="s">
        <v>686</v>
      </c>
      <c r="G7" s="27" t="s">
        <v>687</v>
      </c>
      <c r="H7" s="28" t="s">
        <v>749</v>
      </c>
      <c r="I7" s="29" t="s">
        <v>750</v>
      </c>
    </row>
    <row r="8" customFormat="false" ht="45.75" hidden="false" customHeight="true" outlineLevel="0" collapsed="false">
      <c r="B8" s="25" t="s">
        <v>39</v>
      </c>
      <c r="C8" s="24" t="s">
        <v>134</v>
      </c>
      <c r="D8" s="25" t="s">
        <v>135</v>
      </c>
      <c r="E8" s="25" t="s">
        <v>691</v>
      </c>
      <c r="F8" s="32" t="s">
        <v>697</v>
      </c>
      <c r="G8" s="31" t="s">
        <v>695</v>
      </c>
      <c r="H8" s="28" t="s">
        <v>751</v>
      </c>
      <c r="I8" s="29" t="s">
        <v>752</v>
      </c>
    </row>
    <row r="9" customFormat="false" ht="45.75" hidden="false" customHeight="true" outlineLevel="0" collapsed="false">
      <c r="B9" s="25" t="s">
        <v>39</v>
      </c>
      <c r="C9" s="24" t="s">
        <v>134</v>
      </c>
      <c r="D9" s="25" t="s">
        <v>135</v>
      </c>
      <c r="E9" s="25" t="s">
        <v>694</v>
      </c>
      <c r="F9" s="34" t="s">
        <v>724</v>
      </c>
      <c r="G9" s="33" t="s">
        <v>717</v>
      </c>
      <c r="H9" s="28" t="s">
        <v>753</v>
      </c>
      <c r="I9" s="29" t="s">
        <v>754</v>
      </c>
    </row>
    <row r="10" customFormat="false" ht="45.75" hidden="false" customHeight="true" outlineLevel="0" collapsed="false">
      <c r="B10" s="25" t="s">
        <v>39</v>
      </c>
      <c r="C10" s="24" t="s">
        <v>143</v>
      </c>
      <c r="D10" s="25" t="s">
        <v>144</v>
      </c>
      <c r="E10" s="25" t="s">
        <v>685</v>
      </c>
      <c r="F10" s="32" t="s">
        <v>697</v>
      </c>
      <c r="G10" s="31" t="s">
        <v>695</v>
      </c>
      <c r="H10" s="28" t="s">
        <v>755</v>
      </c>
      <c r="I10" s="29" t="s">
        <v>756</v>
      </c>
    </row>
    <row r="11" customFormat="false" ht="45.75" hidden="false" customHeight="true" outlineLevel="0" collapsed="false">
      <c r="B11" s="25" t="s">
        <v>39</v>
      </c>
      <c r="C11" s="24" t="s">
        <v>143</v>
      </c>
      <c r="D11" s="25" t="s">
        <v>144</v>
      </c>
      <c r="E11" s="25" t="s">
        <v>691</v>
      </c>
      <c r="F11" s="32" t="s">
        <v>697</v>
      </c>
      <c r="G11" s="31" t="s">
        <v>695</v>
      </c>
      <c r="H11" s="28" t="s">
        <v>757</v>
      </c>
      <c r="I11" s="29" t="s">
        <v>758</v>
      </c>
    </row>
    <row r="12" customFormat="false" ht="45.75" hidden="false" customHeight="true" outlineLevel="0" collapsed="false">
      <c r="B12" s="25" t="s">
        <v>39</v>
      </c>
      <c r="C12" s="24" t="s">
        <v>143</v>
      </c>
      <c r="D12" s="25" t="s">
        <v>144</v>
      </c>
      <c r="E12" s="25" t="s">
        <v>694</v>
      </c>
      <c r="F12" s="32" t="s">
        <v>697</v>
      </c>
      <c r="G12" s="33" t="s">
        <v>717</v>
      </c>
      <c r="H12" s="28" t="s">
        <v>759</v>
      </c>
      <c r="I12" s="29" t="s">
        <v>760</v>
      </c>
    </row>
    <row r="13" customFormat="false" ht="45.75" hidden="false" customHeight="true" outlineLevel="0" collapsed="false">
      <c r="B13" s="25" t="s">
        <v>58</v>
      </c>
      <c r="C13" s="24" t="s">
        <v>152</v>
      </c>
      <c r="D13" s="25" t="s">
        <v>153</v>
      </c>
      <c r="E13" s="25" t="s">
        <v>685</v>
      </c>
      <c r="F13" s="26" t="s">
        <v>686</v>
      </c>
      <c r="G13" s="27" t="s">
        <v>687</v>
      </c>
      <c r="H13" s="28" t="s">
        <v>761</v>
      </c>
      <c r="I13" s="29" t="s">
        <v>762</v>
      </c>
    </row>
    <row r="14" customFormat="false" ht="45.75" hidden="false" customHeight="true" outlineLevel="0" collapsed="false">
      <c r="B14" s="25" t="s">
        <v>58</v>
      </c>
      <c r="C14" s="24" t="s">
        <v>152</v>
      </c>
      <c r="D14" s="25" t="s">
        <v>153</v>
      </c>
      <c r="E14" s="25" t="s">
        <v>691</v>
      </c>
      <c r="F14" s="34" t="s">
        <v>724</v>
      </c>
      <c r="G14" s="27" t="s">
        <v>687</v>
      </c>
      <c r="H14" s="28" t="s">
        <v>763</v>
      </c>
      <c r="I14" s="29" t="s">
        <v>659</v>
      </c>
    </row>
    <row r="15" customFormat="false" ht="45.75" hidden="false" customHeight="true" outlineLevel="0" collapsed="false">
      <c r="B15" s="25" t="s">
        <v>58</v>
      </c>
      <c r="C15" s="24" t="s">
        <v>152</v>
      </c>
      <c r="D15" s="25" t="s">
        <v>153</v>
      </c>
      <c r="E15" s="25" t="s">
        <v>694</v>
      </c>
      <c r="F15" s="34" t="s">
        <v>724</v>
      </c>
      <c r="G15" s="27" t="s">
        <v>687</v>
      </c>
      <c r="H15" s="28" t="s">
        <v>764</v>
      </c>
      <c r="I15" s="29" t="s">
        <v>765</v>
      </c>
    </row>
    <row r="16" customFormat="false" ht="45.75" hidden="false" customHeight="true" outlineLevel="0" collapsed="false">
      <c r="B16" s="25" t="s">
        <v>58</v>
      </c>
      <c r="C16" s="24" t="s">
        <v>160</v>
      </c>
      <c r="D16" s="25" t="s">
        <v>161</v>
      </c>
      <c r="E16" s="25" t="s">
        <v>685</v>
      </c>
      <c r="F16" s="26" t="s">
        <v>686</v>
      </c>
      <c r="G16" s="27" t="s">
        <v>687</v>
      </c>
      <c r="H16" s="28" t="s">
        <v>766</v>
      </c>
      <c r="I16" s="29" t="s">
        <v>767</v>
      </c>
    </row>
    <row r="17" customFormat="false" ht="45.75" hidden="false" customHeight="true" outlineLevel="0" collapsed="false">
      <c r="B17" s="25" t="s">
        <v>58</v>
      </c>
      <c r="C17" s="24" t="s">
        <v>160</v>
      </c>
      <c r="D17" s="25" t="s">
        <v>161</v>
      </c>
      <c r="E17" s="25" t="s">
        <v>691</v>
      </c>
      <c r="F17" s="32" t="s">
        <v>697</v>
      </c>
      <c r="G17" s="31" t="s">
        <v>695</v>
      </c>
      <c r="H17" s="28" t="s">
        <v>768</v>
      </c>
      <c r="I17" s="29" t="s">
        <v>769</v>
      </c>
    </row>
    <row r="18" customFormat="false" ht="45.75" hidden="false" customHeight="true" outlineLevel="0" collapsed="false">
      <c r="B18" s="25" t="s">
        <v>58</v>
      </c>
      <c r="C18" s="24" t="s">
        <v>160</v>
      </c>
      <c r="D18" s="25" t="s">
        <v>161</v>
      </c>
      <c r="E18" s="25" t="s">
        <v>694</v>
      </c>
      <c r="F18" s="34" t="s">
        <v>724</v>
      </c>
      <c r="G18" s="33" t="s">
        <v>717</v>
      </c>
      <c r="H18" s="28" t="s">
        <v>770</v>
      </c>
      <c r="I18" s="29" t="s">
        <v>771</v>
      </c>
    </row>
    <row r="19" customFormat="false" ht="45.75" hidden="false" customHeight="true" outlineLevel="0" collapsed="false">
      <c r="B19" s="25" t="s">
        <v>77</v>
      </c>
      <c r="C19" s="24" t="s">
        <v>169</v>
      </c>
      <c r="D19" s="25" t="s">
        <v>170</v>
      </c>
      <c r="E19" s="25" t="s">
        <v>685</v>
      </c>
      <c r="F19" s="32" t="s">
        <v>697</v>
      </c>
      <c r="G19" s="31" t="s">
        <v>695</v>
      </c>
      <c r="H19" s="28" t="s">
        <v>772</v>
      </c>
      <c r="I19" s="29" t="s">
        <v>773</v>
      </c>
    </row>
    <row r="20" customFormat="false" ht="45.75" hidden="false" customHeight="true" outlineLevel="0" collapsed="false">
      <c r="B20" s="25" t="s">
        <v>77</v>
      </c>
      <c r="C20" s="24" t="s">
        <v>169</v>
      </c>
      <c r="D20" s="25" t="s">
        <v>170</v>
      </c>
      <c r="E20" s="25" t="s">
        <v>691</v>
      </c>
      <c r="F20" s="32" t="s">
        <v>697</v>
      </c>
      <c r="G20" s="31" t="s">
        <v>695</v>
      </c>
      <c r="H20" s="28" t="s">
        <v>774</v>
      </c>
      <c r="I20" s="29" t="s">
        <v>775</v>
      </c>
    </row>
    <row r="21" customFormat="false" ht="45.75" hidden="false" customHeight="true" outlineLevel="0" collapsed="false">
      <c r="B21" s="25" t="s">
        <v>77</v>
      </c>
      <c r="C21" s="24" t="s">
        <v>169</v>
      </c>
      <c r="D21" s="25" t="s">
        <v>170</v>
      </c>
      <c r="E21" s="25" t="s">
        <v>694</v>
      </c>
      <c r="F21" s="34" t="s">
        <v>724</v>
      </c>
      <c r="G21" s="33" t="s">
        <v>717</v>
      </c>
      <c r="H21" s="28" t="s">
        <v>776</v>
      </c>
      <c r="I21" s="29" t="s">
        <v>777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178</v>
      </c>
    </row>
    <row r="3" customFormat="false" ht="15" hidden="false" customHeight="false" outlineLevel="0" collapsed="false">
      <c r="B3" s="2" t="s">
        <v>890</v>
      </c>
    </row>
    <row r="4" customFormat="false" ht="15" hidden="false" customHeight="false" outlineLevel="0" collapsed="false">
      <c r="B4" s="36" t="s">
        <v>891</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179</v>
      </c>
      <c r="D7" s="25" t="s">
        <v>180</v>
      </c>
      <c r="E7" s="25" t="s">
        <v>685</v>
      </c>
      <c r="F7" s="32" t="s">
        <v>697</v>
      </c>
      <c r="G7" s="31" t="s">
        <v>695</v>
      </c>
      <c r="H7" s="28" t="s">
        <v>778</v>
      </c>
      <c r="I7" s="29" t="s">
        <v>779</v>
      </c>
    </row>
    <row r="8" customFormat="false" ht="45.75" hidden="false" customHeight="true" outlineLevel="0" collapsed="false">
      <c r="B8" s="25" t="s">
        <v>39</v>
      </c>
      <c r="C8" s="24" t="s">
        <v>179</v>
      </c>
      <c r="D8" s="25" t="s">
        <v>180</v>
      </c>
      <c r="E8" s="25" t="s">
        <v>691</v>
      </c>
      <c r="F8" s="32" t="s">
        <v>697</v>
      </c>
      <c r="G8" s="27" t="s">
        <v>687</v>
      </c>
      <c r="H8" s="28" t="s">
        <v>780</v>
      </c>
      <c r="I8" s="29" t="s">
        <v>781</v>
      </c>
    </row>
    <row r="9" customFormat="false" ht="45.75" hidden="false" customHeight="true" outlineLevel="0" collapsed="false">
      <c r="B9" s="25" t="s">
        <v>39</v>
      </c>
      <c r="C9" s="24" t="s">
        <v>179</v>
      </c>
      <c r="D9" s="25" t="s">
        <v>180</v>
      </c>
      <c r="E9" s="25" t="s">
        <v>694</v>
      </c>
      <c r="F9" s="34" t="s">
        <v>724</v>
      </c>
      <c r="G9" s="33" t="s">
        <v>717</v>
      </c>
      <c r="H9" s="28" t="s">
        <v>782</v>
      </c>
      <c r="I9" s="29" t="s">
        <v>726</v>
      </c>
    </row>
    <row r="10" customFormat="false" ht="45.75" hidden="false" customHeight="true" outlineLevel="0" collapsed="false">
      <c r="B10" s="25" t="s">
        <v>39</v>
      </c>
      <c r="C10" s="24" t="s">
        <v>188</v>
      </c>
      <c r="D10" s="25" t="s">
        <v>189</v>
      </c>
      <c r="E10" s="25" t="s">
        <v>685</v>
      </c>
      <c r="F10" s="32" t="s">
        <v>697</v>
      </c>
      <c r="G10" s="31" t="s">
        <v>695</v>
      </c>
      <c r="H10" s="28" t="s">
        <v>783</v>
      </c>
      <c r="I10" s="29" t="s">
        <v>784</v>
      </c>
    </row>
    <row r="11" customFormat="false" ht="45.75" hidden="false" customHeight="true" outlineLevel="0" collapsed="false">
      <c r="B11" s="25" t="s">
        <v>39</v>
      </c>
      <c r="C11" s="24" t="s">
        <v>188</v>
      </c>
      <c r="D11" s="25" t="s">
        <v>189</v>
      </c>
      <c r="E11" s="25" t="s">
        <v>691</v>
      </c>
      <c r="F11" s="34" t="s">
        <v>724</v>
      </c>
      <c r="G11" s="33" t="s">
        <v>717</v>
      </c>
      <c r="H11" s="28" t="s">
        <v>785</v>
      </c>
      <c r="I11" s="29" t="s">
        <v>777</v>
      </c>
    </row>
    <row r="12" customFormat="false" ht="45.75" hidden="false" customHeight="true" outlineLevel="0" collapsed="false">
      <c r="B12" s="25" t="s">
        <v>39</v>
      </c>
      <c r="C12" s="24" t="s">
        <v>188</v>
      </c>
      <c r="D12" s="25" t="s">
        <v>189</v>
      </c>
      <c r="E12" s="25" t="s">
        <v>694</v>
      </c>
      <c r="F12" s="34" t="s">
        <v>724</v>
      </c>
      <c r="G12" s="33" t="s">
        <v>717</v>
      </c>
      <c r="H12" s="28" t="s">
        <v>786</v>
      </c>
      <c r="I12" s="29" t="s">
        <v>777</v>
      </c>
    </row>
    <row r="13" customFormat="false" ht="45.75" hidden="false" customHeight="true" outlineLevel="0" collapsed="false">
      <c r="B13" s="25" t="s">
        <v>58</v>
      </c>
      <c r="C13" s="24" t="s">
        <v>197</v>
      </c>
      <c r="D13" s="25" t="s">
        <v>198</v>
      </c>
      <c r="E13" s="25" t="s">
        <v>685</v>
      </c>
      <c r="F13" s="32" t="s">
        <v>697</v>
      </c>
      <c r="G13" s="31" t="s">
        <v>695</v>
      </c>
      <c r="H13" s="28" t="s">
        <v>787</v>
      </c>
      <c r="I13" s="29" t="s">
        <v>788</v>
      </c>
    </row>
    <row r="14" customFormat="false" ht="45.75" hidden="false" customHeight="true" outlineLevel="0" collapsed="false">
      <c r="B14" s="25" t="s">
        <v>58</v>
      </c>
      <c r="C14" s="24" t="s">
        <v>197</v>
      </c>
      <c r="D14" s="25" t="s">
        <v>198</v>
      </c>
      <c r="E14" s="25" t="s">
        <v>691</v>
      </c>
      <c r="F14" s="34" t="s">
        <v>724</v>
      </c>
      <c r="G14" s="27" t="s">
        <v>687</v>
      </c>
      <c r="H14" s="28" t="s">
        <v>789</v>
      </c>
      <c r="I14" s="29" t="s">
        <v>659</v>
      </c>
    </row>
    <row r="15" customFormat="false" ht="45.75" hidden="false" customHeight="true" outlineLevel="0" collapsed="false">
      <c r="B15" s="25" t="s">
        <v>58</v>
      </c>
      <c r="C15" s="24" t="s">
        <v>197</v>
      </c>
      <c r="D15" s="25" t="s">
        <v>198</v>
      </c>
      <c r="E15" s="25" t="s">
        <v>694</v>
      </c>
      <c r="F15" s="34" t="s">
        <v>724</v>
      </c>
      <c r="G15" s="31" t="s">
        <v>695</v>
      </c>
      <c r="H15" s="28" t="s">
        <v>790</v>
      </c>
      <c r="I15" s="29" t="s">
        <v>791</v>
      </c>
    </row>
    <row r="16" customFormat="false" ht="45.75" hidden="false" customHeight="true" outlineLevel="0" collapsed="false">
      <c r="B16" s="25" t="s">
        <v>77</v>
      </c>
      <c r="C16" s="24" t="s">
        <v>205</v>
      </c>
      <c r="D16" s="25" t="s">
        <v>206</v>
      </c>
      <c r="E16" s="25" t="s">
        <v>685</v>
      </c>
      <c r="F16" s="32" t="s">
        <v>697</v>
      </c>
      <c r="G16" s="31" t="s">
        <v>695</v>
      </c>
      <c r="H16" s="28" t="s">
        <v>792</v>
      </c>
      <c r="I16" s="29" t="s">
        <v>472</v>
      </c>
    </row>
    <row r="17" customFormat="false" ht="45.75" hidden="false" customHeight="true" outlineLevel="0" collapsed="false">
      <c r="B17" s="25" t="s">
        <v>77</v>
      </c>
      <c r="C17" s="24" t="s">
        <v>205</v>
      </c>
      <c r="D17" s="25" t="s">
        <v>206</v>
      </c>
      <c r="E17" s="25" t="s">
        <v>691</v>
      </c>
      <c r="F17" s="34" t="s">
        <v>724</v>
      </c>
      <c r="G17" s="33" t="s">
        <v>717</v>
      </c>
      <c r="H17" s="28" t="s">
        <v>793</v>
      </c>
      <c r="I17" s="29" t="s">
        <v>794</v>
      </c>
    </row>
    <row r="18" customFormat="false" ht="45.75" hidden="false" customHeight="true" outlineLevel="0" collapsed="false">
      <c r="B18" s="25" t="s">
        <v>77</v>
      </c>
      <c r="C18" s="24" t="s">
        <v>205</v>
      </c>
      <c r="D18" s="25" t="s">
        <v>206</v>
      </c>
      <c r="E18" s="25" t="s">
        <v>694</v>
      </c>
      <c r="F18" s="34" t="s">
        <v>724</v>
      </c>
      <c r="G18" s="33" t="s">
        <v>717</v>
      </c>
      <c r="H18" s="28" t="s">
        <v>795</v>
      </c>
      <c r="I18" s="29" t="s">
        <v>777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214</v>
      </c>
    </row>
    <row r="3" customFormat="false" ht="15" hidden="false" customHeight="false" outlineLevel="0" collapsed="false">
      <c r="B3" s="2" t="s">
        <v>892</v>
      </c>
    </row>
    <row r="4" customFormat="false" ht="15" hidden="false" customHeight="false" outlineLevel="0" collapsed="false">
      <c r="B4" s="36" t="s">
        <v>893</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215</v>
      </c>
      <c r="D7" s="25" t="s">
        <v>216</v>
      </c>
      <c r="E7" s="25" t="s">
        <v>685</v>
      </c>
      <c r="F7" s="32" t="s">
        <v>697</v>
      </c>
      <c r="G7" s="33" t="s">
        <v>717</v>
      </c>
      <c r="H7" s="28" t="s">
        <v>796</v>
      </c>
      <c r="I7" s="29" t="s">
        <v>797</v>
      </c>
    </row>
    <row r="8" customFormat="false" ht="45.75" hidden="false" customHeight="true" outlineLevel="0" collapsed="false">
      <c r="B8" s="25" t="s">
        <v>39</v>
      </c>
      <c r="C8" s="24" t="s">
        <v>215</v>
      </c>
      <c r="D8" s="25" t="s">
        <v>216</v>
      </c>
      <c r="E8" s="25" t="s">
        <v>691</v>
      </c>
      <c r="F8" s="32" t="s">
        <v>697</v>
      </c>
      <c r="G8" s="33" t="s">
        <v>717</v>
      </c>
      <c r="H8" s="28" t="s">
        <v>798</v>
      </c>
      <c r="I8" s="29" t="s">
        <v>799</v>
      </c>
    </row>
    <row r="9" customFormat="false" ht="45.75" hidden="false" customHeight="true" outlineLevel="0" collapsed="false">
      <c r="B9" s="25" t="s">
        <v>39</v>
      </c>
      <c r="C9" s="24" t="s">
        <v>215</v>
      </c>
      <c r="D9" s="25" t="s">
        <v>216</v>
      </c>
      <c r="E9" s="25" t="s">
        <v>694</v>
      </c>
      <c r="F9" s="32" t="s">
        <v>697</v>
      </c>
      <c r="G9" s="33" t="s">
        <v>717</v>
      </c>
      <c r="H9" s="28" t="s">
        <v>800</v>
      </c>
      <c r="I9" s="29" t="s">
        <v>797</v>
      </c>
    </row>
    <row r="10" customFormat="false" ht="45.75" hidden="false" customHeight="true" outlineLevel="0" collapsed="false">
      <c r="B10" s="25" t="s">
        <v>58</v>
      </c>
      <c r="C10" s="24" t="s">
        <v>224</v>
      </c>
      <c r="D10" s="25" t="s">
        <v>225</v>
      </c>
      <c r="E10" s="25" t="s">
        <v>685</v>
      </c>
      <c r="F10" s="26" t="s">
        <v>686</v>
      </c>
      <c r="G10" s="27" t="s">
        <v>687</v>
      </c>
      <c r="H10" s="28" t="s">
        <v>801</v>
      </c>
      <c r="I10" s="29" t="s">
        <v>581</v>
      </c>
    </row>
    <row r="11" customFormat="false" ht="45.75" hidden="false" customHeight="true" outlineLevel="0" collapsed="false">
      <c r="B11" s="25" t="s">
        <v>58</v>
      </c>
      <c r="C11" s="24" t="s">
        <v>224</v>
      </c>
      <c r="D11" s="25" t="s">
        <v>225</v>
      </c>
      <c r="E11" s="25" t="s">
        <v>691</v>
      </c>
      <c r="F11" s="32" t="s">
        <v>697</v>
      </c>
      <c r="G11" s="31" t="s">
        <v>695</v>
      </c>
      <c r="H11" s="28" t="s">
        <v>802</v>
      </c>
      <c r="I11" s="29" t="s">
        <v>803</v>
      </c>
    </row>
    <row r="12" customFormat="false" ht="45.75" hidden="false" customHeight="true" outlineLevel="0" collapsed="false">
      <c r="B12" s="25" t="s">
        <v>58</v>
      </c>
      <c r="C12" s="24" t="s">
        <v>224</v>
      </c>
      <c r="D12" s="25" t="s">
        <v>225</v>
      </c>
      <c r="E12" s="25" t="s">
        <v>694</v>
      </c>
      <c r="F12" s="26" t="s">
        <v>686</v>
      </c>
      <c r="G12" s="33" t="s">
        <v>717</v>
      </c>
      <c r="H12" s="28" t="s">
        <v>804</v>
      </c>
      <c r="I12" s="29" t="s">
        <v>805</v>
      </c>
    </row>
    <row r="13" customFormat="false" ht="45.75" hidden="false" customHeight="true" outlineLevel="0" collapsed="false">
      <c r="B13" s="25" t="s">
        <v>58</v>
      </c>
      <c r="C13" s="24" t="s">
        <v>233</v>
      </c>
      <c r="D13" s="25" t="s">
        <v>234</v>
      </c>
      <c r="E13" s="25" t="s">
        <v>685</v>
      </c>
      <c r="F13" s="26" t="s">
        <v>686</v>
      </c>
      <c r="G13" s="27" t="s">
        <v>687</v>
      </c>
      <c r="H13" s="28" t="s">
        <v>806</v>
      </c>
      <c r="I13" s="29" t="s">
        <v>581</v>
      </c>
    </row>
    <row r="14" customFormat="false" ht="45.75" hidden="false" customHeight="true" outlineLevel="0" collapsed="false">
      <c r="B14" s="25" t="s">
        <v>58</v>
      </c>
      <c r="C14" s="24" t="s">
        <v>233</v>
      </c>
      <c r="D14" s="25" t="s">
        <v>234</v>
      </c>
      <c r="E14" s="25" t="s">
        <v>691</v>
      </c>
      <c r="F14" s="32" t="s">
        <v>697</v>
      </c>
      <c r="G14" s="27" t="s">
        <v>687</v>
      </c>
      <c r="H14" s="28" t="s">
        <v>807</v>
      </c>
      <c r="I14" s="29" t="s">
        <v>808</v>
      </c>
    </row>
    <row r="15" customFormat="false" ht="45.75" hidden="false" customHeight="true" outlineLevel="0" collapsed="false">
      <c r="B15" s="25" t="s">
        <v>58</v>
      </c>
      <c r="C15" s="24" t="s">
        <v>233</v>
      </c>
      <c r="D15" s="25" t="s">
        <v>234</v>
      </c>
      <c r="E15" s="25" t="s">
        <v>694</v>
      </c>
      <c r="F15" s="32" t="s">
        <v>697</v>
      </c>
      <c r="G15" s="31" t="s">
        <v>695</v>
      </c>
      <c r="H15" s="28" t="s">
        <v>809</v>
      </c>
      <c r="I15" s="29" t="s">
        <v>810</v>
      </c>
    </row>
    <row r="16" customFormat="false" ht="45.75" hidden="false" customHeight="true" outlineLevel="0" collapsed="false">
      <c r="B16" s="25" t="s">
        <v>77</v>
      </c>
      <c r="C16" s="24" t="s">
        <v>242</v>
      </c>
      <c r="D16" s="25" t="s">
        <v>243</v>
      </c>
      <c r="E16" s="25" t="s">
        <v>685</v>
      </c>
      <c r="F16" s="34" t="s">
        <v>724</v>
      </c>
      <c r="G16" s="31" t="s">
        <v>695</v>
      </c>
      <c r="H16" s="28" t="s">
        <v>811</v>
      </c>
      <c r="I16" s="29" t="s">
        <v>812</v>
      </c>
    </row>
    <row r="17" customFormat="false" ht="45.75" hidden="false" customHeight="true" outlineLevel="0" collapsed="false">
      <c r="B17" s="25" t="s">
        <v>77</v>
      </c>
      <c r="C17" s="24" t="s">
        <v>242</v>
      </c>
      <c r="D17" s="25" t="s">
        <v>243</v>
      </c>
      <c r="E17" s="25" t="s">
        <v>691</v>
      </c>
      <c r="F17" s="32" t="s">
        <v>697</v>
      </c>
      <c r="G17" s="31" t="s">
        <v>695</v>
      </c>
      <c r="H17" s="28" t="s">
        <v>813</v>
      </c>
      <c r="I17" s="29" t="s">
        <v>814</v>
      </c>
    </row>
    <row r="18" customFormat="false" ht="45.75" hidden="false" customHeight="true" outlineLevel="0" collapsed="false">
      <c r="B18" s="25" t="s">
        <v>77</v>
      </c>
      <c r="C18" s="24" t="s">
        <v>242</v>
      </c>
      <c r="D18" s="25" t="s">
        <v>243</v>
      </c>
      <c r="E18" s="25" t="s">
        <v>694</v>
      </c>
      <c r="F18" s="26" t="s">
        <v>686</v>
      </c>
      <c r="G18" s="31" t="s">
        <v>695</v>
      </c>
      <c r="H18" s="28" t="s">
        <v>815</v>
      </c>
      <c r="I18" s="29" t="s">
        <v>816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251</v>
      </c>
    </row>
    <row r="3" customFormat="false" ht="15" hidden="false" customHeight="false" outlineLevel="0" collapsed="false">
      <c r="B3" s="2" t="s">
        <v>894</v>
      </c>
    </row>
    <row r="4" customFormat="false" ht="15" hidden="false" customHeight="false" outlineLevel="0" collapsed="false">
      <c r="B4" s="36" t="s">
        <v>895</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252</v>
      </c>
      <c r="D7" s="25" t="s">
        <v>253</v>
      </c>
      <c r="E7" s="25" t="s">
        <v>685</v>
      </c>
      <c r="F7" s="34" t="s">
        <v>724</v>
      </c>
      <c r="G7" s="31" t="s">
        <v>695</v>
      </c>
      <c r="H7" s="28" t="s">
        <v>817</v>
      </c>
      <c r="I7" s="29" t="s">
        <v>818</v>
      </c>
    </row>
    <row r="8" customFormat="false" ht="45.75" hidden="false" customHeight="true" outlineLevel="0" collapsed="false">
      <c r="B8" s="25" t="s">
        <v>39</v>
      </c>
      <c r="C8" s="24" t="s">
        <v>252</v>
      </c>
      <c r="D8" s="25" t="s">
        <v>253</v>
      </c>
      <c r="E8" s="25" t="s">
        <v>691</v>
      </c>
      <c r="F8" s="34" t="s">
        <v>724</v>
      </c>
      <c r="G8" s="31" t="s">
        <v>695</v>
      </c>
      <c r="H8" s="28" t="s">
        <v>819</v>
      </c>
      <c r="I8" s="29" t="s">
        <v>820</v>
      </c>
    </row>
    <row r="9" customFormat="false" ht="45.75" hidden="false" customHeight="true" outlineLevel="0" collapsed="false">
      <c r="B9" s="25" t="s">
        <v>39</v>
      </c>
      <c r="C9" s="24" t="s">
        <v>252</v>
      </c>
      <c r="D9" s="25" t="s">
        <v>253</v>
      </c>
      <c r="E9" s="25" t="s">
        <v>694</v>
      </c>
      <c r="F9" s="34" t="s">
        <v>724</v>
      </c>
      <c r="G9" s="33" t="s">
        <v>717</v>
      </c>
      <c r="H9" s="28" t="s">
        <v>821</v>
      </c>
      <c r="I9" s="29" t="s">
        <v>822</v>
      </c>
    </row>
    <row r="10" customFormat="false" ht="45.75" hidden="false" customHeight="true" outlineLevel="0" collapsed="false">
      <c r="B10" s="25" t="s">
        <v>58</v>
      </c>
      <c r="C10" s="24" t="s">
        <v>261</v>
      </c>
      <c r="D10" s="25" t="s">
        <v>262</v>
      </c>
      <c r="E10" s="25" t="s">
        <v>685</v>
      </c>
      <c r="F10" s="26" t="s">
        <v>686</v>
      </c>
      <c r="G10" s="27" t="s">
        <v>687</v>
      </c>
      <c r="H10" s="28" t="s">
        <v>823</v>
      </c>
      <c r="I10" s="29" t="s">
        <v>586</v>
      </c>
    </row>
    <row r="11" customFormat="false" ht="45.75" hidden="false" customHeight="true" outlineLevel="0" collapsed="false">
      <c r="B11" s="25" t="s">
        <v>58</v>
      </c>
      <c r="C11" s="24" t="s">
        <v>261</v>
      </c>
      <c r="D11" s="25" t="s">
        <v>262</v>
      </c>
      <c r="E11" s="25" t="s">
        <v>691</v>
      </c>
      <c r="F11" s="32" t="s">
        <v>697</v>
      </c>
      <c r="G11" s="27" t="s">
        <v>687</v>
      </c>
      <c r="H11" s="28" t="s">
        <v>824</v>
      </c>
      <c r="I11" s="29" t="s">
        <v>825</v>
      </c>
    </row>
    <row r="12" customFormat="false" ht="45.75" hidden="false" customHeight="true" outlineLevel="0" collapsed="false">
      <c r="B12" s="25" t="s">
        <v>58</v>
      </c>
      <c r="C12" s="24" t="s">
        <v>261</v>
      </c>
      <c r="D12" s="25" t="s">
        <v>262</v>
      </c>
      <c r="E12" s="25" t="s">
        <v>694</v>
      </c>
      <c r="F12" s="34" t="s">
        <v>724</v>
      </c>
      <c r="G12" s="31" t="s">
        <v>695</v>
      </c>
      <c r="H12" s="28" t="s">
        <v>826</v>
      </c>
      <c r="I12" s="29" t="s">
        <v>827</v>
      </c>
    </row>
    <row r="13" customFormat="false" ht="45.75" hidden="false" customHeight="true" outlineLevel="0" collapsed="false">
      <c r="B13" s="25" t="s">
        <v>77</v>
      </c>
      <c r="C13" s="24" t="s">
        <v>270</v>
      </c>
      <c r="D13" s="25" t="s">
        <v>271</v>
      </c>
      <c r="E13" s="25" t="s">
        <v>685</v>
      </c>
      <c r="F13" s="32" t="s">
        <v>697</v>
      </c>
      <c r="G13" s="31" t="s">
        <v>695</v>
      </c>
      <c r="H13" s="28" t="s">
        <v>828</v>
      </c>
      <c r="I13" s="29" t="s">
        <v>829</v>
      </c>
    </row>
    <row r="14" customFormat="false" ht="45.75" hidden="false" customHeight="true" outlineLevel="0" collapsed="false">
      <c r="B14" s="25" t="s">
        <v>77</v>
      </c>
      <c r="C14" s="24" t="s">
        <v>270</v>
      </c>
      <c r="D14" s="25" t="s">
        <v>271</v>
      </c>
      <c r="E14" s="25" t="s">
        <v>691</v>
      </c>
      <c r="F14" s="32" t="s">
        <v>697</v>
      </c>
      <c r="G14" s="31" t="s">
        <v>695</v>
      </c>
      <c r="H14" s="28" t="s">
        <v>830</v>
      </c>
      <c r="I14" s="29" t="s">
        <v>831</v>
      </c>
    </row>
    <row r="15" customFormat="false" ht="45.75" hidden="false" customHeight="true" outlineLevel="0" collapsed="false">
      <c r="B15" s="25" t="s">
        <v>77</v>
      </c>
      <c r="C15" s="24" t="s">
        <v>270</v>
      </c>
      <c r="D15" s="25" t="s">
        <v>271</v>
      </c>
      <c r="E15" s="25" t="s">
        <v>694</v>
      </c>
      <c r="F15" s="34" t="s">
        <v>724</v>
      </c>
      <c r="G15" s="33" t="s">
        <v>717</v>
      </c>
      <c r="H15" s="28" t="s">
        <v>832</v>
      </c>
      <c r="I15" s="29" t="s">
        <v>777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279</v>
      </c>
    </row>
    <row r="3" customFormat="false" ht="15" hidden="false" customHeight="false" outlineLevel="0" collapsed="false">
      <c r="B3" s="2" t="s">
        <v>896</v>
      </c>
    </row>
    <row r="4" customFormat="false" ht="15" hidden="false" customHeight="false" outlineLevel="0" collapsed="false">
      <c r="B4" s="36" t="s">
        <v>897</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280</v>
      </c>
      <c r="D7" s="25" t="s">
        <v>281</v>
      </c>
      <c r="E7" s="25" t="s">
        <v>685</v>
      </c>
      <c r="F7" s="32" t="s">
        <v>697</v>
      </c>
      <c r="G7" s="31" t="s">
        <v>695</v>
      </c>
      <c r="H7" s="28" t="s">
        <v>833</v>
      </c>
      <c r="I7" s="29" t="s">
        <v>834</v>
      </c>
    </row>
    <row r="8" customFormat="false" ht="45.75" hidden="false" customHeight="true" outlineLevel="0" collapsed="false">
      <c r="B8" s="25" t="s">
        <v>39</v>
      </c>
      <c r="C8" s="24" t="s">
        <v>280</v>
      </c>
      <c r="D8" s="25" t="s">
        <v>281</v>
      </c>
      <c r="E8" s="25" t="s">
        <v>691</v>
      </c>
      <c r="F8" s="34" t="s">
        <v>724</v>
      </c>
      <c r="G8" s="33" t="s">
        <v>717</v>
      </c>
      <c r="H8" s="28" t="s">
        <v>835</v>
      </c>
      <c r="I8" s="29" t="s">
        <v>836</v>
      </c>
    </row>
    <row r="9" customFormat="false" ht="45.75" hidden="false" customHeight="true" outlineLevel="0" collapsed="false">
      <c r="B9" s="25" t="s">
        <v>39</v>
      </c>
      <c r="C9" s="24" t="s">
        <v>280</v>
      </c>
      <c r="D9" s="25" t="s">
        <v>281</v>
      </c>
      <c r="E9" s="25" t="s">
        <v>694</v>
      </c>
      <c r="F9" s="32" t="s">
        <v>697</v>
      </c>
      <c r="G9" s="31" t="s">
        <v>695</v>
      </c>
      <c r="H9" s="28" t="s">
        <v>837</v>
      </c>
      <c r="I9" s="29" t="s">
        <v>834</v>
      </c>
    </row>
    <row r="10" customFormat="false" ht="45.75" hidden="false" customHeight="true" outlineLevel="0" collapsed="false">
      <c r="B10" s="25" t="s">
        <v>58</v>
      </c>
      <c r="C10" s="24" t="s">
        <v>289</v>
      </c>
      <c r="D10" s="25" t="s">
        <v>290</v>
      </c>
      <c r="E10" s="25" t="s">
        <v>685</v>
      </c>
      <c r="F10" s="26" t="s">
        <v>686</v>
      </c>
      <c r="G10" s="27" t="s">
        <v>687</v>
      </c>
      <c r="H10" s="28" t="s">
        <v>838</v>
      </c>
      <c r="I10" s="29" t="s">
        <v>839</v>
      </c>
    </row>
    <row r="11" customFormat="false" ht="45.75" hidden="false" customHeight="true" outlineLevel="0" collapsed="false">
      <c r="B11" s="25" t="s">
        <v>58</v>
      </c>
      <c r="C11" s="24" t="s">
        <v>289</v>
      </c>
      <c r="D11" s="25" t="s">
        <v>290</v>
      </c>
      <c r="E11" s="25" t="s">
        <v>691</v>
      </c>
      <c r="F11" s="34" t="s">
        <v>724</v>
      </c>
      <c r="G11" s="31" t="s">
        <v>695</v>
      </c>
      <c r="H11" s="28" t="s">
        <v>840</v>
      </c>
      <c r="I11" s="29" t="s">
        <v>841</v>
      </c>
    </row>
    <row r="12" customFormat="false" ht="45.75" hidden="false" customHeight="true" outlineLevel="0" collapsed="false">
      <c r="B12" s="25" t="s">
        <v>58</v>
      </c>
      <c r="C12" s="24" t="s">
        <v>289</v>
      </c>
      <c r="D12" s="25" t="s">
        <v>290</v>
      </c>
      <c r="E12" s="25" t="s">
        <v>694</v>
      </c>
      <c r="F12" s="34" t="s">
        <v>724</v>
      </c>
      <c r="G12" s="31" t="s">
        <v>695</v>
      </c>
      <c r="H12" s="28" t="s">
        <v>842</v>
      </c>
      <c r="I12" s="29" t="s">
        <v>843</v>
      </c>
    </row>
    <row r="13" customFormat="false" ht="45.75" hidden="false" customHeight="true" outlineLevel="0" collapsed="false">
      <c r="B13" s="25" t="s">
        <v>77</v>
      </c>
      <c r="C13" s="24" t="s">
        <v>298</v>
      </c>
      <c r="D13" s="25" t="s">
        <v>299</v>
      </c>
      <c r="E13" s="25" t="s">
        <v>685</v>
      </c>
      <c r="F13" s="32" t="s">
        <v>697</v>
      </c>
      <c r="G13" s="31" t="s">
        <v>695</v>
      </c>
      <c r="H13" s="28" t="s">
        <v>844</v>
      </c>
      <c r="I13" s="29" t="s">
        <v>468</v>
      </c>
    </row>
    <row r="14" customFormat="false" ht="45.75" hidden="false" customHeight="true" outlineLevel="0" collapsed="false">
      <c r="B14" s="25" t="s">
        <v>77</v>
      </c>
      <c r="C14" s="24" t="s">
        <v>298</v>
      </c>
      <c r="D14" s="25" t="s">
        <v>299</v>
      </c>
      <c r="E14" s="25" t="s">
        <v>691</v>
      </c>
      <c r="F14" s="32" t="s">
        <v>697</v>
      </c>
      <c r="G14" s="31" t="s">
        <v>695</v>
      </c>
      <c r="H14" s="28" t="s">
        <v>845</v>
      </c>
      <c r="I14" s="29" t="s">
        <v>468</v>
      </c>
    </row>
    <row r="15" customFormat="false" ht="45.75" hidden="false" customHeight="true" outlineLevel="0" collapsed="false">
      <c r="B15" s="25" t="s">
        <v>77</v>
      </c>
      <c r="C15" s="24" t="s">
        <v>298</v>
      </c>
      <c r="D15" s="25" t="s">
        <v>299</v>
      </c>
      <c r="E15" s="25" t="s">
        <v>694</v>
      </c>
      <c r="F15" s="32" t="s">
        <v>697</v>
      </c>
      <c r="G15" s="33" t="s">
        <v>717</v>
      </c>
      <c r="H15" s="28" t="s">
        <v>846</v>
      </c>
      <c r="I15" s="29" t="s">
        <v>847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307</v>
      </c>
    </row>
    <row r="3" customFormat="false" ht="15" hidden="false" customHeight="false" outlineLevel="0" collapsed="false">
      <c r="B3" s="2" t="s">
        <v>898</v>
      </c>
    </row>
    <row r="4" customFormat="false" ht="15" hidden="false" customHeight="false" outlineLevel="0" collapsed="false">
      <c r="B4" s="36" t="s">
        <v>899</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308</v>
      </c>
      <c r="D7" s="25" t="s">
        <v>309</v>
      </c>
      <c r="E7" s="25" t="s">
        <v>685</v>
      </c>
      <c r="F7" s="32" t="s">
        <v>697</v>
      </c>
      <c r="G7" s="31" t="s">
        <v>695</v>
      </c>
      <c r="H7" s="28" t="s">
        <v>848</v>
      </c>
      <c r="I7" s="29" t="s">
        <v>849</v>
      </c>
    </row>
    <row r="8" customFormat="false" ht="45.75" hidden="false" customHeight="true" outlineLevel="0" collapsed="false">
      <c r="B8" s="25" t="s">
        <v>39</v>
      </c>
      <c r="C8" s="24" t="s">
        <v>308</v>
      </c>
      <c r="D8" s="25" t="s">
        <v>309</v>
      </c>
      <c r="E8" s="25" t="s">
        <v>691</v>
      </c>
      <c r="F8" s="32" t="s">
        <v>697</v>
      </c>
      <c r="G8" s="31" t="s">
        <v>695</v>
      </c>
      <c r="H8" s="28" t="s">
        <v>850</v>
      </c>
      <c r="I8" s="29" t="s">
        <v>489</v>
      </c>
    </row>
    <row r="9" customFormat="false" ht="45.75" hidden="false" customHeight="true" outlineLevel="0" collapsed="false">
      <c r="B9" s="25" t="s">
        <v>39</v>
      </c>
      <c r="C9" s="24" t="s">
        <v>308</v>
      </c>
      <c r="D9" s="25" t="s">
        <v>309</v>
      </c>
      <c r="E9" s="25" t="s">
        <v>694</v>
      </c>
      <c r="F9" s="26" t="s">
        <v>686</v>
      </c>
      <c r="G9" s="27" t="s">
        <v>687</v>
      </c>
      <c r="H9" s="28" t="s">
        <v>851</v>
      </c>
      <c r="I9" s="29" t="s">
        <v>852</v>
      </c>
    </row>
    <row r="10" customFormat="false" ht="45.75" hidden="false" customHeight="true" outlineLevel="0" collapsed="false">
      <c r="B10" s="25" t="s">
        <v>58</v>
      </c>
      <c r="C10" s="24" t="s">
        <v>317</v>
      </c>
      <c r="D10" s="25" t="s">
        <v>318</v>
      </c>
      <c r="E10" s="25" t="s">
        <v>685</v>
      </c>
      <c r="F10" s="26" t="s">
        <v>686</v>
      </c>
      <c r="G10" s="27" t="s">
        <v>687</v>
      </c>
      <c r="H10" s="28" t="s">
        <v>853</v>
      </c>
      <c r="I10" s="29" t="s">
        <v>854</v>
      </c>
    </row>
    <row r="11" customFormat="false" ht="45.75" hidden="false" customHeight="true" outlineLevel="0" collapsed="false">
      <c r="B11" s="25" t="s">
        <v>58</v>
      </c>
      <c r="C11" s="24" t="s">
        <v>317</v>
      </c>
      <c r="D11" s="25" t="s">
        <v>318</v>
      </c>
      <c r="E11" s="25" t="s">
        <v>691</v>
      </c>
      <c r="F11" s="32" t="s">
        <v>697</v>
      </c>
      <c r="G11" s="31" t="s">
        <v>695</v>
      </c>
      <c r="H11" s="28" t="s">
        <v>855</v>
      </c>
      <c r="I11" s="29" t="s">
        <v>856</v>
      </c>
    </row>
    <row r="12" customFormat="false" ht="45.75" hidden="false" customHeight="true" outlineLevel="0" collapsed="false">
      <c r="B12" s="25" t="s">
        <v>58</v>
      </c>
      <c r="C12" s="24" t="s">
        <v>317</v>
      </c>
      <c r="D12" s="25" t="s">
        <v>318</v>
      </c>
      <c r="E12" s="25" t="s">
        <v>694</v>
      </c>
      <c r="F12" s="32" t="s">
        <v>697</v>
      </c>
      <c r="G12" s="31" t="s">
        <v>695</v>
      </c>
      <c r="H12" s="28" t="s">
        <v>857</v>
      </c>
      <c r="I12" s="29" t="s">
        <v>858</v>
      </c>
    </row>
    <row r="13" customFormat="false" ht="45.75" hidden="false" customHeight="true" outlineLevel="0" collapsed="false">
      <c r="B13" s="25" t="s">
        <v>77</v>
      </c>
      <c r="C13" s="24" t="s">
        <v>326</v>
      </c>
      <c r="D13" s="25" t="s">
        <v>327</v>
      </c>
      <c r="E13" s="25" t="s">
        <v>685</v>
      </c>
      <c r="F13" s="32" t="s">
        <v>697</v>
      </c>
      <c r="G13" s="31" t="s">
        <v>695</v>
      </c>
      <c r="H13" s="28" t="s">
        <v>859</v>
      </c>
      <c r="I13" s="29" t="s">
        <v>860</v>
      </c>
    </row>
    <row r="14" customFormat="false" ht="45.75" hidden="false" customHeight="true" outlineLevel="0" collapsed="false">
      <c r="B14" s="25" t="s">
        <v>77</v>
      </c>
      <c r="C14" s="24" t="s">
        <v>326</v>
      </c>
      <c r="D14" s="25" t="s">
        <v>327</v>
      </c>
      <c r="E14" s="25" t="s">
        <v>691</v>
      </c>
      <c r="F14" s="34" t="s">
        <v>724</v>
      </c>
      <c r="G14" s="31" t="s">
        <v>695</v>
      </c>
      <c r="H14" s="28" t="s">
        <v>861</v>
      </c>
      <c r="I14" s="29" t="s">
        <v>862</v>
      </c>
    </row>
    <row r="15" customFormat="false" ht="45.75" hidden="false" customHeight="true" outlineLevel="0" collapsed="false">
      <c r="B15" s="25" t="s">
        <v>77</v>
      </c>
      <c r="C15" s="24" t="s">
        <v>326</v>
      </c>
      <c r="D15" s="25" t="s">
        <v>327</v>
      </c>
      <c r="E15" s="25" t="s">
        <v>694</v>
      </c>
      <c r="F15" s="32" t="s">
        <v>697</v>
      </c>
      <c r="G15" s="31" t="s">
        <v>695</v>
      </c>
      <c r="H15" s="28" t="s">
        <v>863</v>
      </c>
      <c r="I15" s="29" t="s">
        <v>393</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9"/>
    <col collapsed="false" customWidth="true" hidden="false" outlineLevel="0" max="4" min="4" style="0" width="2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34"/>
  </cols>
  <sheetData>
    <row r="2" customFormat="false" ht="19.7" hidden="false" customHeight="false" outlineLevel="0" collapsed="false">
      <c r="B2" s="1" t="s">
        <v>335</v>
      </c>
    </row>
    <row r="3" customFormat="false" ht="15" hidden="false" customHeight="false" outlineLevel="0" collapsed="false">
      <c r="B3" s="2" t="s">
        <v>900</v>
      </c>
    </row>
    <row r="4" customFormat="false" ht="15" hidden="false" customHeight="false" outlineLevel="0" collapsed="false">
      <c r="B4" s="36" t="s">
        <v>901</v>
      </c>
    </row>
    <row r="6" customFormat="false" ht="24" hidden="false" customHeight="true" outlineLevel="0" collapsed="false">
      <c r="A6" s="37"/>
      <c r="B6" s="11" t="s">
        <v>28</v>
      </c>
      <c r="C6" s="11" t="s">
        <v>29</v>
      </c>
      <c r="D6" s="11" t="s">
        <v>30</v>
      </c>
      <c r="E6" s="11" t="s">
        <v>679</v>
      </c>
      <c r="F6" s="11" t="s">
        <v>680</v>
      </c>
      <c r="G6" s="11" t="s">
        <v>681</v>
      </c>
      <c r="H6" s="11" t="s">
        <v>884</v>
      </c>
      <c r="I6" s="11" t="s">
        <v>885</v>
      </c>
    </row>
    <row r="7" customFormat="false" ht="45.75" hidden="false" customHeight="true" outlineLevel="0" collapsed="false">
      <c r="B7" s="25" t="s">
        <v>39</v>
      </c>
      <c r="C7" s="24" t="s">
        <v>336</v>
      </c>
      <c r="D7" s="25" t="s">
        <v>337</v>
      </c>
      <c r="E7" s="25" t="s">
        <v>685</v>
      </c>
      <c r="F7" s="26" t="s">
        <v>686</v>
      </c>
      <c r="G7" s="31" t="s">
        <v>695</v>
      </c>
      <c r="H7" s="28" t="s">
        <v>864</v>
      </c>
      <c r="I7" s="29" t="s">
        <v>865</v>
      </c>
    </row>
    <row r="8" customFormat="false" ht="45.75" hidden="false" customHeight="true" outlineLevel="0" collapsed="false">
      <c r="B8" s="25" t="s">
        <v>39</v>
      </c>
      <c r="C8" s="24" t="s">
        <v>336</v>
      </c>
      <c r="D8" s="25" t="s">
        <v>337</v>
      </c>
      <c r="E8" s="25" t="s">
        <v>691</v>
      </c>
      <c r="F8" s="32" t="s">
        <v>697</v>
      </c>
      <c r="G8" s="31" t="s">
        <v>695</v>
      </c>
      <c r="H8" s="28" t="s">
        <v>866</v>
      </c>
      <c r="I8" s="29" t="s">
        <v>523</v>
      </c>
    </row>
    <row r="9" customFormat="false" ht="45.75" hidden="false" customHeight="true" outlineLevel="0" collapsed="false">
      <c r="B9" s="25" t="s">
        <v>39</v>
      </c>
      <c r="C9" s="24" t="s">
        <v>336</v>
      </c>
      <c r="D9" s="25" t="s">
        <v>337</v>
      </c>
      <c r="E9" s="25" t="s">
        <v>694</v>
      </c>
      <c r="F9" s="34" t="s">
        <v>724</v>
      </c>
      <c r="G9" s="33" t="s">
        <v>717</v>
      </c>
      <c r="H9" s="28" t="s">
        <v>867</v>
      </c>
      <c r="I9" s="29" t="s">
        <v>868</v>
      </c>
    </row>
    <row r="10" customFormat="false" ht="45.75" hidden="false" customHeight="true" outlineLevel="0" collapsed="false">
      <c r="B10" s="25" t="s">
        <v>58</v>
      </c>
      <c r="C10" s="24" t="s">
        <v>345</v>
      </c>
      <c r="D10" s="25" t="s">
        <v>346</v>
      </c>
      <c r="E10" s="25" t="s">
        <v>685</v>
      </c>
      <c r="F10" s="26" t="s">
        <v>686</v>
      </c>
      <c r="G10" s="27" t="s">
        <v>687</v>
      </c>
      <c r="H10" s="28" t="s">
        <v>869</v>
      </c>
      <c r="I10" s="29" t="s">
        <v>598</v>
      </c>
    </row>
    <row r="11" customFormat="false" ht="45.75" hidden="false" customHeight="true" outlineLevel="0" collapsed="false">
      <c r="B11" s="25" t="s">
        <v>58</v>
      </c>
      <c r="C11" s="24" t="s">
        <v>345</v>
      </c>
      <c r="D11" s="25" t="s">
        <v>346</v>
      </c>
      <c r="E11" s="25" t="s">
        <v>691</v>
      </c>
      <c r="F11" s="34" t="s">
        <v>724</v>
      </c>
      <c r="G11" s="27" t="s">
        <v>687</v>
      </c>
      <c r="H11" s="28" t="s">
        <v>870</v>
      </c>
      <c r="I11" s="29" t="s">
        <v>871</v>
      </c>
    </row>
    <row r="12" customFormat="false" ht="45.75" hidden="false" customHeight="true" outlineLevel="0" collapsed="false">
      <c r="B12" s="25" t="s">
        <v>58</v>
      </c>
      <c r="C12" s="24" t="s">
        <v>345</v>
      </c>
      <c r="D12" s="25" t="s">
        <v>346</v>
      </c>
      <c r="E12" s="25" t="s">
        <v>694</v>
      </c>
      <c r="F12" s="34" t="s">
        <v>724</v>
      </c>
      <c r="G12" s="31" t="s">
        <v>695</v>
      </c>
      <c r="H12" s="28" t="s">
        <v>872</v>
      </c>
      <c r="I12" s="29" t="s">
        <v>873</v>
      </c>
    </row>
    <row r="13" customFormat="false" ht="45.75" hidden="false" customHeight="true" outlineLevel="0" collapsed="false">
      <c r="B13" s="25" t="s">
        <v>77</v>
      </c>
      <c r="C13" s="24" t="s">
        <v>354</v>
      </c>
      <c r="D13" s="25" t="s">
        <v>355</v>
      </c>
      <c r="E13" s="25" t="s">
        <v>685</v>
      </c>
      <c r="F13" s="34" t="s">
        <v>724</v>
      </c>
      <c r="G13" s="27" t="s">
        <v>687</v>
      </c>
      <c r="H13" s="28" t="s">
        <v>874</v>
      </c>
      <c r="I13" s="29" t="s">
        <v>875</v>
      </c>
    </row>
    <row r="14" customFormat="false" ht="45.75" hidden="false" customHeight="true" outlineLevel="0" collapsed="false">
      <c r="B14" s="25" t="s">
        <v>77</v>
      </c>
      <c r="C14" s="24" t="s">
        <v>354</v>
      </c>
      <c r="D14" s="25" t="s">
        <v>355</v>
      </c>
      <c r="E14" s="25" t="s">
        <v>691</v>
      </c>
      <c r="F14" s="32" t="s">
        <v>697</v>
      </c>
      <c r="G14" s="31" t="s">
        <v>695</v>
      </c>
      <c r="H14" s="28" t="s">
        <v>876</v>
      </c>
      <c r="I14" s="29" t="s">
        <v>875</v>
      </c>
    </row>
    <row r="15" customFormat="false" ht="45.75" hidden="false" customHeight="true" outlineLevel="0" collapsed="false">
      <c r="B15" s="25" t="s">
        <v>77</v>
      </c>
      <c r="C15" s="24" t="s">
        <v>354</v>
      </c>
      <c r="D15" s="25" t="s">
        <v>355</v>
      </c>
      <c r="E15" s="25" t="s">
        <v>694</v>
      </c>
      <c r="F15" s="32" t="s">
        <v>697</v>
      </c>
      <c r="G15" s="31" t="s">
        <v>695</v>
      </c>
      <c r="H15" s="28" t="s">
        <v>877</v>
      </c>
      <c r="I15" s="29" t="s">
        <v>875</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2026-08-14T10:59:28Z</dcterms:created>
  <dc:creator>openpyxl</dc:creator>
  <dc:description/>
  <dc:language>en-US</dc:language>
  <cp:lastModifiedBy/>
  <dcterms:modified xsi:type="dcterms:W3CDTF">2026-08-14T10:59:28Z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